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50" tabRatio="864"/>
  </bookViews>
  <sheets>
    <sheet name="Cursos" sheetId="26" r:id="rId1"/>
    <sheet name="Malla base" sheetId="5" r:id="rId2"/>
    <sheet name="ICI Malla" sheetId="11" r:id="rId3"/>
    <sheet name="ICI Tit" sheetId="13" r:id="rId4"/>
    <sheet name="IOC Malla" sheetId="14" r:id="rId5"/>
    <sheet name="IOC Tit" sheetId="16" r:id="rId6"/>
    <sheet name="ICE Malla" sheetId="17" r:id="rId7"/>
    <sheet name="ICC Malla" sheetId="20" r:id="rId8"/>
    <sheet name="ICA Malla" sheetId="23" r:id="rId9"/>
  </sheets>
  <externalReferences>
    <externalReference r:id="rId13"/>
    <externalReference r:id="rId14"/>
  </externalReferences>
  <definedNames>
    <definedName name="_xlnm._FilterDatabase" localSheetId="0" hidden="1">Cursos!$A$2:$AC$146</definedName>
    <definedName name="_xlnm.Print_Area" localSheetId="1">'Malla base'!$A$1:$AT$23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Autor</author>
    <author>Matias Recabarren</author>
    <author>tc={97748B44-7A36-4FA0-8488-ED14B9D7E1AA}</author>
    <author>tc={98560124-4AEA-4B66-B821-39DD1AB5F5A0}</author>
    <author>Danae Olavarría Olguin</author>
    <author>tc={16CF8423-DB5C-41F0-8FA5-28E627208992}</author>
    <author>tc={4FD3542E-B142-4A34-B811-1E4775654F50}</author>
    <author>tc={35A51C01-64AB-45AD-8AD4-C34229C04A6D}</author>
    <author>tc={9C78C329-70E0-4916-86CE-9BF478C4A8D7}</author>
    <author>tc={0002DC07-F59D-45C7-B15E-054AA0B05EB6}</author>
    <author>tc={43033940-FF4A-4C13-974E-92E2AC3701B1}</author>
    <author>tc={6972372B-A29E-40CE-B72D-75B2F2585E87}</author>
    <author>Andrea Miranda Coopman</author>
  </authors>
  <commentList>
    <comment ref="S1" authorId="0">
      <text>
        <r>
          <rPr>
            <b/>
            <sz val="9"/>
            <color rgb="FF000000"/>
            <rFont val="Tahoma"/>
            <charset val="134"/>
          </rPr>
          <t>Autor:</t>
        </r>
        <r>
          <rPr>
            <sz val="9"/>
            <color rgb="FF000000"/>
            <rFont val="Tahoma"/>
            <charset val="134"/>
          </rPr>
          <t xml:space="preserve">
Semanas que se consideran en un semestre</t>
        </r>
      </text>
    </comment>
    <comment ref="T1" authorId="0">
      <text>
        <r>
          <rPr>
            <b/>
            <sz val="9"/>
            <color rgb="FF000000"/>
            <rFont val="Tahoma"/>
            <charset val="134"/>
          </rPr>
          <t>Autor:</t>
        </r>
        <r>
          <rPr>
            <sz val="9"/>
            <color rgb="FF000000"/>
            <rFont val="Tahoma"/>
            <charset val="134"/>
          </rPr>
          <t xml:space="preserve">
Horas de dedicación por cada SCT</t>
        </r>
      </text>
    </comment>
    <comment ref="W2" authorId="1">
      <text>
        <r>
          <rPr>
            <b/>
            <sz val="9"/>
            <rFont val="Calibri"/>
            <charset val="134"/>
          </rPr>
          <t>Matias Recabarren:</t>
        </r>
        <r>
          <rPr>
            <sz val="9"/>
            <rFont val="Calibri"/>
            <charset val="134"/>
          </rPr>
          <t xml:space="preserve">
Se considera un ingreso de alumnos nuevos por año entre 230-260</t>
        </r>
      </text>
    </comment>
    <comment ref="C4" authorId="2">
      <text>
        <r>
          <rPr>
            <sz val="10"/>
            <rFont val="SimSun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ING1001 (código antiguo) tiene configurado 9 SCT y se homologa por ING1000 (código nuevo) tiene configurado 10 SCT</t>
        </r>
      </text>
    </comment>
    <comment ref="C6" authorId="3">
      <text>
        <r>
          <rPr>
            <sz val="10"/>
            <rFont val="SimSun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ING1104 (código antiguo): tiene configurado 2 SCT y se homologa por  ING1400 (código nuevo) tiene configurado 1 SCT</t>
        </r>
      </text>
    </comment>
    <comment ref="T6" authorId="1">
      <text>
        <r>
          <rPr>
            <b/>
            <sz val="9"/>
            <rFont val="Calibri"/>
            <charset val="134"/>
          </rPr>
          <t>Matias Recabarren:</t>
        </r>
        <r>
          <rPr>
            <sz val="9"/>
            <rFont val="Calibri"/>
            <charset val="134"/>
          </rPr>
          <t xml:space="preserve">
Tiene una duración de 2 semanas.</t>
        </r>
      </text>
    </comment>
    <comment ref="L32" authorId="4">
      <text>
        <r>
          <rPr>
            <b/>
            <sz val="9"/>
            <rFont val="Tahoma"/>
            <charset val="134"/>
          </rPr>
          <t>Danae Olavarría Olguin:</t>
        </r>
        <r>
          <rPr>
            <sz val="9"/>
            <rFont val="Tahoma"/>
            <charset val="134"/>
          </rPr>
          <t xml:space="preserve">
Solicitud Coordinador de Área</t>
        </r>
      </text>
    </comment>
    <comment ref="N32" authorId="4">
      <text>
        <r>
          <rPr>
            <b/>
            <sz val="9"/>
            <rFont val="Tahoma"/>
            <charset val="134"/>
          </rPr>
          <t>Danae Olavarría Olguin:</t>
        </r>
        <r>
          <rPr>
            <sz val="9"/>
            <rFont val="Tahoma"/>
            <charset val="134"/>
          </rPr>
          <t xml:space="preserve">
Solicitud Coordinador de Área</t>
        </r>
      </text>
    </comment>
    <comment ref="R32" authorId="4">
      <text>
        <r>
          <rPr>
            <b/>
            <sz val="9"/>
            <rFont val="Tahoma"/>
            <charset val="134"/>
          </rPr>
          <t>Danae Olavarría Olguin:</t>
        </r>
        <r>
          <rPr>
            <sz val="9"/>
            <rFont val="Tahoma"/>
            <charset val="134"/>
          </rPr>
          <t xml:space="preserve">
Solicitud Coordinador de Área</t>
        </r>
      </text>
    </comment>
    <comment ref="Y74" authorId="5">
      <text>
        <r>
          <rPr>
            <sz val="10"/>
            <rFont val="SimSun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completar horas</t>
        </r>
      </text>
    </comment>
    <comment ref="D89" authorId="6">
      <text>
        <r>
          <rPr>
            <sz val="10"/>
            <rFont val="SimSun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Formulario dice 4 horas de dedicación directa. Se programan 3 hrs de clase y 2 de ayud. Aca salia 3 clase, 1 ayud 1 lab
Reply:
    taller no programado</t>
        </r>
      </text>
    </comment>
    <comment ref="D118" authorId="7">
      <text>
        <r>
          <rPr>
            <sz val="10"/>
            <rFont val="SimSun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se programan 3 hrs de clase y 2 de ayud. Esta en el formulario como 4 hrs de docencia directa y en el catalogo aparecia 3 hrs de clase 1 de lab.
Reply:
    laboratorio no programado</t>
        </r>
      </text>
    </comment>
    <comment ref="D122" authorId="8">
      <text>
        <r>
          <rPr>
            <sz val="10"/>
            <rFont val="SimSun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En el formulario salen 6 horas directas. Se programan 3 horas de clases y 2 horas de lab</t>
        </r>
      </text>
    </comment>
    <comment ref="D128" authorId="9">
      <text>
        <r>
          <rPr>
            <sz val="10"/>
            <rFont val="SimSun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en el formulario sale 4 hrs de docencia directa
Reply:
    laboratorio o taller no es programado, implica revisión de avance de proyectos en horario acordado</t>
        </r>
      </text>
    </comment>
    <comment ref="D129" authorId="10">
      <text>
        <r>
          <rPr>
            <sz val="10"/>
            <rFont val="SimSun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en el formulario salen 4 horas de docencia directa y se programan 3 de clase y dos lab
Reply:
    se deja igual que en DPI</t>
        </r>
      </text>
    </comment>
    <comment ref="L132" authorId="4">
      <text>
        <r>
          <rPr>
            <b/>
            <sz val="9"/>
            <rFont val="Tahoma"/>
            <charset val="134"/>
          </rPr>
          <t>Danae Olavarría Olguin:</t>
        </r>
        <r>
          <rPr>
            <sz val="9"/>
            <rFont val="Tahoma"/>
            <charset val="134"/>
          </rPr>
          <t xml:space="preserve">
Solicitud Coordinador de Área</t>
        </r>
      </text>
    </comment>
    <comment ref="N132" authorId="4">
      <text>
        <r>
          <rPr>
            <b/>
            <sz val="9"/>
            <rFont val="Tahoma"/>
            <charset val="134"/>
          </rPr>
          <t>Danae Olavarría Olguin:</t>
        </r>
        <r>
          <rPr>
            <sz val="9"/>
            <rFont val="Tahoma"/>
            <charset val="134"/>
          </rPr>
          <t xml:space="preserve">
Solicitud Coordinador de Área</t>
        </r>
      </text>
    </comment>
    <comment ref="R132" authorId="4">
      <text>
        <r>
          <rPr>
            <b/>
            <sz val="9"/>
            <rFont val="Tahoma"/>
            <charset val="134"/>
          </rPr>
          <t>Danae Olavarría Olguin:</t>
        </r>
        <r>
          <rPr>
            <sz val="9"/>
            <rFont val="Tahoma"/>
            <charset val="134"/>
          </rPr>
          <t xml:space="preserve">
Solicitud Coordinador de Área</t>
        </r>
      </text>
    </comment>
    <comment ref="D141" authorId="11">
      <text>
        <r>
          <rPr>
            <sz val="10"/>
            <rFont val="SimSun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NO SE PROGRAMA LAB</t>
        </r>
      </text>
    </comment>
    <comment ref="M145" authorId="12">
      <text>
        <r>
          <rPr>
            <b/>
            <sz val="9"/>
            <rFont val="Tahoma"/>
            <charset val="134"/>
          </rPr>
          <t>Andrea Miranda Coopman:</t>
        </r>
        <r>
          <rPr>
            <sz val="9"/>
            <rFont val="Tahoma"/>
            <charset val="134"/>
          </rPr>
          <t xml:space="preserve">
Solicitud coordinador del área</t>
        </r>
      </text>
    </comment>
  </commentList>
</comments>
</file>

<file path=xl/comments2.xml><?xml version="1.0" encoding="utf-8"?>
<comments xmlns="http://schemas.openxmlformats.org/spreadsheetml/2006/main">
  <authors>
    <author>Matias Recabarren</author>
  </authors>
  <commentList>
    <comment ref="AP8" authorId="0">
      <text>
        <r>
          <rPr>
            <b/>
            <sz val="9"/>
            <rFont val="Calibri"/>
            <charset val="134"/>
          </rPr>
          <t>Matias Recabarren:</t>
        </r>
        <r>
          <rPr>
            <sz val="9"/>
            <rFont val="Calibri"/>
            <charset val="134"/>
          </rPr>
          <t xml:space="preserve">
24 créditos de titulación aprobados</t>
        </r>
      </text>
    </comment>
    <comment ref="AP14" authorId="0">
      <text>
        <r>
          <rPr>
            <b/>
            <sz val="9"/>
            <rFont val="Calibri"/>
            <charset val="134"/>
          </rPr>
          <t>Matias Recabarren:</t>
        </r>
        <r>
          <rPr>
            <sz val="9"/>
            <rFont val="Calibri"/>
            <charset val="134"/>
          </rPr>
          <t xml:space="preserve">
24 créditos de titulación aprobados</t>
        </r>
      </text>
    </comment>
    <comment ref="AR18" authorId="0">
      <text>
        <r>
          <rPr>
            <b/>
            <sz val="9"/>
            <color rgb="FF000000"/>
            <rFont val="Calibri"/>
            <charset val="134"/>
          </rPr>
          <t xml:space="preserve">Matias Recabarren:
</t>
        </r>
        <r>
          <rPr>
            <sz val="9"/>
            <color rgb="FF000000"/>
            <rFont val="Calibri"/>
            <charset val="134"/>
          </rPr>
          <t>Licenciatura y 30
créditos de Titulación</t>
        </r>
      </text>
    </comment>
    <comment ref="D22" authorId="0">
      <text>
        <r>
          <rPr>
            <b/>
            <sz val="9"/>
            <rFont val="Calibri"/>
            <charset val="134"/>
          </rPr>
          <t>Matias Recabarren:</t>
        </r>
        <r>
          <rPr>
            <sz val="9"/>
            <rFont val="Calibri"/>
            <charset val="134"/>
          </rPr>
          <t xml:space="preserve">
Habilidades transversales desarrolladas en el curso</t>
        </r>
      </text>
    </comment>
    <comment ref="E22" authorId="0">
      <text>
        <r>
          <rPr>
            <b/>
            <sz val="9"/>
            <rFont val="Calibri"/>
            <charset val="134"/>
          </rPr>
          <t>Matias Recabarren:</t>
        </r>
        <r>
          <rPr>
            <sz val="9"/>
            <rFont val="Calibri"/>
            <charset val="134"/>
          </rPr>
          <t xml:space="preserve">
En rojo significa que puede ser en paralelo</t>
        </r>
      </text>
    </comment>
  </commentList>
</comments>
</file>

<file path=xl/comments3.xml><?xml version="1.0" encoding="utf-8"?>
<comments xmlns="http://schemas.openxmlformats.org/spreadsheetml/2006/main">
  <authors>
    <author>Matias Recabarren</author>
  </authors>
  <commentList>
    <comment ref="AP8" authorId="0">
      <text>
        <r>
          <rPr>
            <b/>
            <sz val="9"/>
            <color rgb="FF000000"/>
            <rFont val="Calibri"/>
            <charset val="134"/>
          </rPr>
          <t>Matias Recabarren:</t>
        </r>
        <r>
          <rPr>
            <sz val="9"/>
            <color rgb="FF000000"/>
            <rFont val="Calibri"/>
            <charset val="134"/>
          </rPr>
          <t xml:space="preserve">
24 créditos de titulación aprobados</t>
        </r>
      </text>
    </comment>
    <comment ref="AP14" authorId="0">
      <text>
        <r>
          <rPr>
            <b/>
            <sz val="9"/>
            <color rgb="FF000000"/>
            <rFont val="Calibri"/>
            <charset val="134"/>
          </rPr>
          <t>Matias Recabarren:</t>
        </r>
        <r>
          <rPr>
            <sz val="9"/>
            <color rgb="FF000000"/>
            <rFont val="Calibri"/>
            <charset val="134"/>
          </rPr>
          <t xml:space="preserve">
24 créditos de titulación aprobados</t>
        </r>
      </text>
    </comment>
    <comment ref="AR18" authorId="0">
      <text>
        <r>
          <rPr>
            <b/>
            <sz val="9"/>
            <color rgb="FF000000"/>
            <rFont val="Calibri"/>
            <charset val="134"/>
          </rPr>
          <t xml:space="preserve">Matias Recabarren:
</t>
        </r>
        <r>
          <rPr>
            <sz val="9"/>
            <color rgb="FF000000"/>
            <rFont val="Calibri"/>
            <charset val="134"/>
          </rPr>
          <t>Licenciatura y 30
créditos de Titulación</t>
        </r>
      </text>
    </comment>
    <comment ref="D22" authorId="0">
      <text>
        <r>
          <rPr>
            <b/>
            <sz val="9"/>
            <color rgb="FF000000"/>
            <rFont val="Calibri"/>
            <charset val="134"/>
          </rPr>
          <t>Matias Recabarren:</t>
        </r>
        <r>
          <rPr>
            <sz val="9"/>
            <color rgb="FF000000"/>
            <rFont val="Calibri"/>
            <charset val="134"/>
          </rPr>
          <t xml:space="preserve">
Habilidades transversales desarrolladas en el curso</t>
        </r>
      </text>
    </comment>
    <comment ref="E22" authorId="0">
      <text>
        <r>
          <rPr>
            <b/>
            <sz val="9"/>
            <color rgb="FF000000"/>
            <rFont val="Calibri"/>
            <charset val="134"/>
          </rPr>
          <t>Matias Recabarren:</t>
        </r>
        <r>
          <rPr>
            <sz val="9"/>
            <color rgb="FF000000"/>
            <rFont val="Calibri"/>
            <charset val="134"/>
          </rPr>
          <t xml:space="preserve">
En rojo significa que puede ser en paralelo</t>
        </r>
      </text>
    </comment>
  </commentList>
</comments>
</file>

<file path=xl/comments4.xml><?xml version="1.0" encoding="utf-8"?>
<comments xmlns="http://schemas.openxmlformats.org/spreadsheetml/2006/main">
  <authors>
    <author>Matias Recabarren</author>
  </authors>
  <commentList>
    <comment ref="AP8" authorId="0">
      <text>
        <r>
          <rPr>
            <b/>
            <sz val="9"/>
            <color rgb="FF000000"/>
            <rFont val="Calibri"/>
            <charset val="134"/>
          </rPr>
          <t>Matias Recabarren:</t>
        </r>
        <r>
          <rPr>
            <sz val="9"/>
            <color rgb="FF000000"/>
            <rFont val="Calibri"/>
            <charset val="134"/>
          </rPr>
          <t xml:space="preserve">
24 créditos de titulación aprobados</t>
        </r>
      </text>
    </comment>
    <comment ref="AP14" authorId="0">
      <text>
        <r>
          <rPr>
            <b/>
            <sz val="9"/>
            <color rgb="FF000000"/>
            <rFont val="Calibri"/>
            <charset val="134"/>
          </rPr>
          <t>Matias Recabarren:</t>
        </r>
        <r>
          <rPr>
            <sz val="9"/>
            <color rgb="FF000000"/>
            <rFont val="Calibri"/>
            <charset val="134"/>
          </rPr>
          <t xml:space="preserve">
24 créditos de titulación aprobados</t>
        </r>
      </text>
    </comment>
    <comment ref="AR18" authorId="0">
      <text>
        <r>
          <rPr>
            <b/>
            <sz val="9"/>
            <color rgb="FF000000"/>
            <rFont val="Calibri"/>
            <charset val="134"/>
          </rPr>
          <t xml:space="preserve">Matias Recabarren:
</t>
        </r>
        <r>
          <rPr>
            <sz val="9"/>
            <color rgb="FF000000"/>
            <rFont val="Calibri"/>
            <charset val="134"/>
          </rPr>
          <t>Licenciatura y 30
créditos de Titulación</t>
        </r>
      </text>
    </comment>
    <comment ref="D22" authorId="0">
      <text>
        <r>
          <rPr>
            <b/>
            <sz val="9"/>
            <color rgb="FF000000"/>
            <rFont val="Calibri"/>
            <charset val="134"/>
          </rPr>
          <t>Matias Recabarren:</t>
        </r>
        <r>
          <rPr>
            <sz val="9"/>
            <color rgb="FF000000"/>
            <rFont val="Calibri"/>
            <charset val="134"/>
          </rPr>
          <t xml:space="preserve">
Habilidades transversales desarrolladas en el curso</t>
        </r>
      </text>
    </comment>
    <comment ref="E22" authorId="0">
      <text>
        <r>
          <rPr>
            <b/>
            <sz val="9"/>
            <color rgb="FF000000"/>
            <rFont val="Calibri"/>
            <charset val="134"/>
          </rPr>
          <t>Matias Recabarren:</t>
        </r>
        <r>
          <rPr>
            <sz val="9"/>
            <color rgb="FF000000"/>
            <rFont val="Calibri"/>
            <charset val="134"/>
          </rPr>
          <t xml:space="preserve">
En rojo significa que puede ser en paralelo</t>
        </r>
      </text>
    </comment>
  </commentList>
</comments>
</file>

<file path=xl/comments5.xml><?xml version="1.0" encoding="utf-8"?>
<comments xmlns="http://schemas.openxmlformats.org/spreadsheetml/2006/main">
  <authors>
    <author>Matias Recabarren</author>
  </authors>
  <commentList>
    <comment ref="AP8" authorId="0">
      <text>
        <r>
          <rPr>
            <b/>
            <sz val="9"/>
            <color rgb="FF000000"/>
            <rFont val="Calibri"/>
            <charset val="134"/>
          </rPr>
          <t>Matias Recabarren:</t>
        </r>
        <r>
          <rPr>
            <sz val="9"/>
            <color rgb="FF000000"/>
            <rFont val="Calibri"/>
            <charset val="134"/>
          </rPr>
          <t xml:space="preserve">
24 créditos de titulación aprobados</t>
        </r>
      </text>
    </comment>
    <comment ref="AP14" authorId="0">
      <text>
        <r>
          <rPr>
            <b/>
            <sz val="9"/>
            <color rgb="FF000000"/>
            <rFont val="Calibri"/>
            <charset val="134"/>
          </rPr>
          <t>Matias Recabarren:</t>
        </r>
        <r>
          <rPr>
            <sz val="9"/>
            <color rgb="FF000000"/>
            <rFont val="Calibri"/>
            <charset val="134"/>
          </rPr>
          <t xml:space="preserve">
24 créditos de titulación aprobados</t>
        </r>
      </text>
    </comment>
    <comment ref="AR18" authorId="0">
      <text>
        <r>
          <rPr>
            <b/>
            <sz val="9"/>
            <color rgb="FF000000"/>
            <rFont val="Calibri"/>
            <charset val="134"/>
          </rPr>
          <t xml:space="preserve">Matias Recabarren:
</t>
        </r>
        <r>
          <rPr>
            <sz val="9"/>
            <color rgb="FF000000"/>
            <rFont val="Calibri"/>
            <charset val="134"/>
          </rPr>
          <t>Licenciatura y 30
créditos de Titulación</t>
        </r>
      </text>
    </comment>
    <comment ref="D22" authorId="0">
      <text>
        <r>
          <rPr>
            <b/>
            <sz val="9"/>
            <color rgb="FF000000"/>
            <rFont val="Calibri"/>
            <charset val="134"/>
          </rPr>
          <t>Matias Recabarren:</t>
        </r>
        <r>
          <rPr>
            <sz val="9"/>
            <color rgb="FF000000"/>
            <rFont val="Calibri"/>
            <charset val="134"/>
          </rPr>
          <t xml:space="preserve">
Habilidades transversales desarrolladas en el curso</t>
        </r>
      </text>
    </comment>
    <comment ref="E22" authorId="0">
      <text>
        <r>
          <rPr>
            <b/>
            <sz val="9"/>
            <color rgb="FF000000"/>
            <rFont val="Calibri"/>
            <charset val="134"/>
          </rPr>
          <t>Matias Recabarren:</t>
        </r>
        <r>
          <rPr>
            <sz val="9"/>
            <color rgb="FF000000"/>
            <rFont val="Calibri"/>
            <charset val="134"/>
          </rPr>
          <t xml:space="preserve">
En rojo significa que puede ser en paralelo</t>
        </r>
      </text>
    </comment>
  </commentList>
</comments>
</file>

<file path=xl/comments6.xml><?xml version="1.0" encoding="utf-8"?>
<comments xmlns="http://schemas.openxmlformats.org/spreadsheetml/2006/main">
  <authors>
    <author>Matias Recabarren</author>
  </authors>
  <commentList>
    <comment ref="AP8" authorId="0">
      <text>
        <r>
          <rPr>
            <b/>
            <sz val="9"/>
            <color rgb="FF000000"/>
            <rFont val="Calibri"/>
            <charset val="134"/>
          </rPr>
          <t>Matias Recabarren:</t>
        </r>
        <r>
          <rPr>
            <sz val="9"/>
            <color rgb="FF000000"/>
            <rFont val="Calibri"/>
            <charset val="134"/>
          </rPr>
          <t xml:space="preserve">
24 créditos de titulación aprobados</t>
        </r>
      </text>
    </comment>
    <comment ref="AP14" authorId="0">
      <text>
        <r>
          <rPr>
            <b/>
            <sz val="9"/>
            <color rgb="FF000000"/>
            <rFont val="Calibri"/>
            <charset val="134"/>
          </rPr>
          <t>Matias Recabarren:</t>
        </r>
        <r>
          <rPr>
            <sz val="9"/>
            <color rgb="FF000000"/>
            <rFont val="Calibri"/>
            <charset val="134"/>
          </rPr>
          <t xml:space="preserve">
24 créditos de titulación aprobados</t>
        </r>
      </text>
    </comment>
    <comment ref="AR18" authorId="0">
      <text>
        <r>
          <rPr>
            <b/>
            <sz val="9"/>
            <color rgb="FF000000"/>
            <rFont val="Calibri"/>
            <charset val="134"/>
          </rPr>
          <t xml:space="preserve">Matias Recabarren:
</t>
        </r>
        <r>
          <rPr>
            <sz val="9"/>
            <color rgb="FF000000"/>
            <rFont val="Calibri"/>
            <charset val="134"/>
          </rPr>
          <t>Licenciatura y 30
créditos de Titulación</t>
        </r>
      </text>
    </comment>
    <comment ref="D22" authorId="0">
      <text>
        <r>
          <rPr>
            <b/>
            <sz val="9"/>
            <color rgb="FF000000"/>
            <rFont val="Calibri"/>
            <charset val="134"/>
          </rPr>
          <t>Matias Recabarren:</t>
        </r>
        <r>
          <rPr>
            <sz val="9"/>
            <color rgb="FF000000"/>
            <rFont val="Calibri"/>
            <charset val="134"/>
          </rPr>
          <t xml:space="preserve">
Habilidades transversales desarrolladas en el curso</t>
        </r>
      </text>
    </comment>
    <comment ref="E22" authorId="0">
      <text>
        <r>
          <rPr>
            <b/>
            <sz val="9"/>
            <color rgb="FF000000"/>
            <rFont val="Calibri"/>
            <charset val="134"/>
          </rPr>
          <t>Matias Recabarren:</t>
        </r>
        <r>
          <rPr>
            <sz val="9"/>
            <color rgb="FF000000"/>
            <rFont val="Calibri"/>
            <charset val="134"/>
          </rPr>
          <t xml:space="preserve">
En rojo significa que puede ser en paralelo</t>
        </r>
      </text>
    </comment>
  </commentList>
</comments>
</file>

<file path=xl/comments7.xml><?xml version="1.0" encoding="utf-8"?>
<comments xmlns="http://schemas.openxmlformats.org/spreadsheetml/2006/main">
  <authors>
    <author>Matias Recabarren</author>
  </authors>
  <commentList>
    <comment ref="AP8" authorId="0">
      <text>
        <r>
          <rPr>
            <b/>
            <sz val="9"/>
            <color rgb="FF000000"/>
            <rFont val="Calibri"/>
            <charset val="134"/>
          </rPr>
          <t>Matias Recabarren:</t>
        </r>
        <r>
          <rPr>
            <sz val="9"/>
            <color rgb="FF000000"/>
            <rFont val="Calibri"/>
            <charset val="134"/>
          </rPr>
          <t xml:space="preserve">
24 créditos de titulación aprobados</t>
        </r>
      </text>
    </comment>
    <comment ref="AP14" authorId="0">
      <text>
        <r>
          <rPr>
            <b/>
            <sz val="9"/>
            <color rgb="FF000000"/>
            <rFont val="Calibri"/>
            <charset val="134"/>
          </rPr>
          <t>Matias Recabarren:</t>
        </r>
        <r>
          <rPr>
            <sz val="9"/>
            <color rgb="FF000000"/>
            <rFont val="Calibri"/>
            <charset val="134"/>
          </rPr>
          <t xml:space="preserve">
24 créditos de titulación aprobados</t>
        </r>
      </text>
    </comment>
    <comment ref="AR18" authorId="0">
      <text>
        <r>
          <rPr>
            <b/>
            <sz val="9"/>
            <color rgb="FF000000"/>
            <rFont val="Calibri"/>
            <charset val="134"/>
          </rPr>
          <t xml:space="preserve">Matias Recabarren:
</t>
        </r>
        <r>
          <rPr>
            <sz val="9"/>
            <color rgb="FF000000"/>
            <rFont val="Calibri"/>
            <charset val="134"/>
          </rPr>
          <t>Licenciatura y 30
créditos de Titulación</t>
        </r>
      </text>
    </comment>
    <comment ref="D22" authorId="0">
      <text>
        <r>
          <rPr>
            <b/>
            <sz val="9"/>
            <color rgb="FF000000"/>
            <rFont val="Calibri"/>
            <charset val="134"/>
          </rPr>
          <t>Matias Recabarren:</t>
        </r>
        <r>
          <rPr>
            <sz val="9"/>
            <color rgb="FF000000"/>
            <rFont val="Calibri"/>
            <charset val="134"/>
          </rPr>
          <t xml:space="preserve">
Habilidades transversales desarrolladas en el curso</t>
        </r>
      </text>
    </comment>
    <comment ref="E22" authorId="0">
      <text>
        <r>
          <rPr>
            <b/>
            <sz val="9"/>
            <color rgb="FF000000"/>
            <rFont val="Calibri"/>
            <charset val="134"/>
          </rPr>
          <t>Matias Recabarren:</t>
        </r>
        <r>
          <rPr>
            <sz val="9"/>
            <color rgb="FF000000"/>
            <rFont val="Calibri"/>
            <charset val="134"/>
          </rPr>
          <t xml:space="preserve">
En rojo significa que puede ser en paralelo</t>
        </r>
      </text>
    </comment>
  </commentList>
</comments>
</file>

<file path=xl/sharedStrings.xml><?xml version="1.0" encoding="utf-8"?>
<sst xmlns="http://schemas.openxmlformats.org/spreadsheetml/2006/main" count="3295" uniqueCount="738">
  <si>
    <t>Especialidades</t>
  </si>
  <si>
    <t>Horas semanales</t>
  </si>
  <si>
    <t>CODIGO</t>
  </si>
  <si>
    <t>MATERIA</t>
  </si>
  <si>
    <t>CURSO</t>
  </si>
  <si>
    <t>TITULO</t>
  </si>
  <si>
    <t>Plan Común</t>
  </si>
  <si>
    <t>ICI</t>
  </si>
  <si>
    <t>IOC</t>
  </si>
  <si>
    <t>ICE</t>
  </si>
  <si>
    <t>ICC</t>
  </si>
  <si>
    <t>ICA</t>
  </si>
  <si>
    <t>Cocentración</t>
  </si>
  <si>
    <t>Clases</t>
  </si>
  <si>
    <t>Ayudantías</t>
  </si>
  <si>
    <t>Laboratorios o Talleres</t>
  </si>
  <si>
    <t>Trabajos</t>
  </si>
  <si>
    <t>Presentaciones</t>
  </si>
  <si>
    <t>Lecturas</t>
  </si>
  <si>
    <t>Estudio</t>
  </si>
  <si>
    <t>SCT-Chile</t>
  </si>
  <si>
    <t>Requisitos</t>
  </si>
  <si>
    <t>Habilidades Transversales</t>
  </si>
  <si>
    <t>Secciones Sem 10</t>
  </si>
  <si>
    <t>Secciones Sem 20</t>
  </si>
  <si>
    <t>Homologación Plan de Estudios 2016, Plan de Estudios 2022
Sólo cambio de malla</t>
  </si>
  <si>
    <t>Homologación Plan de Estudios 2011
Sólo cambio de malla</t>
  </si>
  <si>
    <t xml:space="preserve">Cursos similares del Plan de Estudios 2011 (Lista Cruzada)
</t>
  </si>
  <si>
    <t>CODIGOS BANNER 2010</t>
  </si>
  <si>
    <t>COINCIDENCIA</t>
  </si>
  <si>
    <t>ING6100</t>
  </si>
  <si>
    <t>ING</t>
  </si>
  <si>
    <t>Requisito Inglés ALTE 3</t>
  </si>
  <si>
    <t>NA</t>
  </si>
  <si>
    <t>SI</t>
  </si>
  <si>
    <t>ING1100</t>
  </si>
  <si>
    <t>1100</t>
  </si>
  <si>
    <t>Álgebra e Introducción al Cálculo</t>
  </si>
  <si>
    <t>✔</t>
  </si>
  <si>
    <t>Álgebra (7) y Geometría e Introducción al Cálculo (7)</t>
  </si>
  <si>
    <t xml:space="preserve">Álgebra  y Geometría e Introducción al Cálculo </t>
  </si>
  <si>
    <t>no disponible</t>
  </si>
  <si>
    <t>NO</t>
  </si>
  <si>
    <t>ING1106</t>
  </si>
  <si>
    <t>Antropología Filosófica</t>
  </si>
  <si>
    <t>Antropología Filosófica (3)</t>
  </si>
  <si>
    <t xml:space="preserve">Antropología Filosófica </t>
  </si>
  <si>
    <t>ING1400</t>
  </si>
  <si>
    <t>1400</t>
  </si>
  <si>
    <t>Bases para el Estudio de Ingeniería</t>
  </si>
  <si>
    <t>Álgebra (7) o Geometría e Introducción al Cálculo (7)</t>
  </si>
  <si>
    <t>ING1102</t>
  </si>
  <si>
    <t>Fundamentos de Química</t>
  </si>
  <si>
    <t>Ea</t>
  </si>
  <si>
    <t>Química General (7)</t>
  </si>
  <si>
    <t>ING1103</t>
  </si>
  <si>
    <t>Programación</t>
  </si>
  <si>
    <t>Introducción a la Computación (6)</t>
  </si>
  <si>
    <t>ING1105</t>
  </si>
  <si>
    <t>Taller de Proyectos de Ingeniería</t>
  </si>
  <si>
    <t>Introducción a la Ingeniería (4)</t>
  </si>
  <si>
    <t>ING1201</t>
  </si>
  <si>
    <t>Álgebra Lineal</t>
  </si>
  <si>
    <t>Bases para el Estudio de Ingeniería, Álgebra e Introducción al Cálculo, Programación (p)</t>
  </si>
  <si>
    <t>Álgebra Lineal (6)</t>
  </si>
  <si>
    <t xml:space="preserve">Álgebra Lineal </t>
  </si>
  <si>
    <t>ING1204</t>
  </si>
  <si>
    <t>Biología de los Microorganismos</t>
  </si>
  <si>
    <t>Bases para el Estudio de Ingeniería (p)</t>
  </si>
  <si>
    <t>ING1202</t>
  </si>
  <si>
    <t>Cálculo I</t>
  </si>
  <si>
    <t>Bases para el Estudio de Ingeniería, Álgebra e Introducción al Cálculo</t>
  </si>
  <si>
    <t>Cálculo I (6)</t>
  </si>
  <si>
    <t>ING1203</t>
  </si>
  <si>
    <t>Introducción a la Mecánica</t>
  </si>
  <si>
    <t>Física General I (7)</t>
  </si>
  <si>
    <t>ING2102</t>
  </si>
  <si>
    <t>Cálculo II</t>
  </si>
  <si>
    <t>Programación, Cálculo I</t>
  </si>
  <si>
    <t>Cálculo II (6)</t>
  </si>
  <si>
    <t>ING2101</t>
  </si>
  <si>
    <t>Ecuaciones Diferenciales</t>
  </si>
  <si>
    <t>Programación, Álgebra Lineal, Cálculo I</t>
  </si>
  <si>
    <t>Ecuaciones Diferenciales (6)</t>
  </si>
  <si>
    <t>ING2104</t>
  </si>
  <si>
    <t>Fundamentos de Economía</t>
  </si>
  <si>
    <t>Ia</t>
  </si>
  <si>
    <t>Introducción a la Economía (6)</t>
  </si>
  <si>
    <t>ING2103</t>
  </si>
  <si>
    <t>Mecánica y Ondas</t>
  </si>
  <si>
    <t>Eb</t>
  </si>
  <si>
    <t>Física General II (6)</t>
  </si>
  <si>
    <t>ING2202</t>
  </si>
  <si>
    <t>Electricidad y Magnetismo</t>
  </si>
  <si>
    <t>Cálculo II, Mecánica y Ondas</t>
  </si>
  <si>
    <t>Electromagnetismo (6)</t>
  </si>
  <si>
    <t>ING2204</t>
  </si>
  <si>
    <t>Estática</t>
  </si>
  <si>
    <t>Cálculo I, Mecánica y Ondas</t>
  </si>
  <si>
    <t>Mecánica Racional I (6)</t>
  </si>
  <si>
    <t>ING3104</t>
  </si>
  <si>
    <t>Ética</t>
  </si>
  <si>
    <t>Ética (3)</t>
  </si>
  <si>
    <t>ING2201</t>
  </si>
  <si>
    <t>Probabilidades y Estadística</t>
  </si>
  <si>
    <t>Teoría de Probabilidades (6) y Estadística Aplicada (6)</t>
  </si>
  <si>
    <t>ING2203</t>
  </si>
  <si>
    <t>Termodinámica</t>
  </si>
  <si>
    <t>Fundamentos de Química,Cálculo II, Mecánica y Ondas</t>
  </si>
  <si>
    <t>Termodinámica (6)</t>
  </si>
  <si>
    <t>ICA5120</t>
  </si>
  <si>
    <t>5120</t>
  </si>
  <si>
    <t>Air Quality and Environmental Pollution</t>
  </si>
  <si>
    <t>Diseño y Optimización de Procesos Industriales</t>
  </si>
  <si>
    <t>Ic(Oa)</t>
  </si>
  <si>
    <t>Air Quality and Environmental Pollution (ICA 5102)</t>
  </si>
  <si>
    <t>ICE3101</t>
  </si>
  <si>
    <t>Análisis de Circuitos</t>
  </si>
  <si>
    <t>Ecuaciones Diferenciales, Electricidad y Magnetismo</t>
  </si>
  <si>
    <t>Análisis de Circuitos (6)</t>
  </si>
  <si>
    <t>ICE3103</t>
  </si>
  <si>
    <t>Sistemas Digitales</t>
  </si>
  <si>
    <t>Algebra Lineal</t>
  </si>
  <si>
    <t>Sistemas Digitales (5) o Diseño Digital (11)</t>
  </si>
  <si>
    <t>ICE3102</t>
  </si>
  <si>
    <t>Señales y Sistemas</t>
  </si>
  <si>
    <t>ICE3201</t>
  </si>
  <si>
    <t>Sistemas Electrónicos</t>
  </si>
  <si>
    <t xml:space="preserve">Sistemas Análogos </t>
  </si>
  <si>
    <t>ICE3203</t>
  </si>
  <si>
    <t>Optical Systems</t>
  </si>
  <si>
    <t>Ic(Eb)</t>
  </si>
  <si>
    <t>Optica</t>
  </si>
  <si>
    <t>ICE3202</t>
  </si>
  <si>
    <t>Procesamiento de Señales</t>
  </si>
  <si>
    <t>Ib</t>
  </si>
  <si>
    <t>Procesamiento digital de señales</t>
  </si>
  <si>
    <t>ICE3204</t>
  </si>
  <si>
    <t>3204</t>
  </si>
  <si>
    <t>Sistemas Digitales Avanzados</t>
  </si>
  <si>
    <t>Sistemas Digitales, Análisis de Circuitos (concurrente)</t>
  </si>
  <si>
    <t>Diseño Digital</t>
  </si>
  <si>
    <t>ICA4130</t>
  </si>
  <si>
    <t>4130</t>
  </si>
  <si>
    <t>Balances de Materia y Energía</t>
  </si>
  <si>
    <t>Métodos Numéricos, Transferencia de Calor</t>
  </si>
  <si>
    <t>Balances de Materia y Energía (ICA 3101)</t>
  </si>
  <si>
    <t>ICA4110</t>
  </si>
  <si>
    <t>4110</t>
  </si>
  <si>
    <t>Cinética y Diseño de Reactores Químicos</t>
  </si>
  <si>
    <t>Balances de Materia y Energía, Máquinas de Transformación Física y Química</t>
  </si>
  <si>
    <t>Cinética y Diseño de Reactores Químicos (ICA4101)</t>
  </si>
  <si>
    <t>ICE4104</t>
  </si>
  <si>
    <t>4104</t>
  </si>
  <si>
    <t>Conversión de Energía</t>
  </si>
  <si>
    <t>Análisis de Circuitos, Termodinámica (concurrente)</t>
  </si>
  <si>
    <t>Ec</t>
  </si>
  <si>
    <t>ICE4102</t>
  </si>
  <si>
    <t>Introducción a las Comunicaciones</t>
  </si>
  <si>
    <t>Procesamiento de Señales, Probabilidades y Estadística</t>
  </si>
  <si>
    <t>Ib, Ec</t>
  </si>
  <si>
    <t>ICE4101</t>
  </si>
  <si>
    <t>Sistemas Electrónicos Avanzados</t>
  </si>
  <si>
    <t>Sistemas Electrónicos, Señales y Sistemas</t>
  </si>
  <si>
    <t xml:space="preserve">Diseño Análogo </t>
  </si>
  <si>
    <t>ICE4204</t>
  </si>
  <si>
    <t>Comunicaciones Digitales</t>
  </si>
  <si>
    <t>Comunicaciones Modernas</t>
  </si>
  <si>
    <t>ICE4202</t>
  </si>
  <si>
    <t>Control Automático</t>
  </si>
  <si>
    <t>Señales y Sistemas, Mecánica y Ondas</t>
  </si>
  <si>
    <t>ICE4203</t>
  </si>
  <si>
    <t>Potencia Eléctrica</t>
  </si>
  <si>
    <t>ICE4205</t>
  </si>
  <si>
    <t>4205</t>
  </si>
  <si>
    <t>Proyecto de Diseño Eléctrico</t>
  </si>
  <si>
    <t>200 SCT de Licenciatura</t>
  </si>
  <si>
    <t>ICE5201 Diseño y Simulación de Sistemas Eléctricos (PE2016 V1)</t>
  </si>
  <si>
    <t>ICE5104</t>
  </si>
  <si>
    <t>5104</t>
  </si>
  <si>
    <t>Electrónica de Potencia</t>
  </si>
  <si>
    <t xml:space="preserve">Control Automático </t>
  </si>
  <si>
    <t>ICE5107</t>
  </si>
  <si>
    <t>5107</t>
  </si>
  <si>
    <t>Fundamentos de Energias Renovables</t>
  </si>
  <si>
    <t>Optical Systems, Conversión de Energía</t>
  </si>
  <si>
    <t>Ec,Ob</t>
  </si>
  <si>
    <t>ICE5105</t>
  </si>
  <si>
    <t>5105</t>
  </si>
  <si>
    <t>Mercados Eléctricos</t>
  </si>
  <si>
    <t xml:space="preserve">Potencia Electrica </t>
  </si>
  <si>
    <t>ICE5106</t>
  </si>
  <si>
    <t>5106</t>
  </si>
  <si>
    <t>Sistemas de Potencia</t>
  </si>
  <si>
    <t>ICA4210</t>
  </si>
  <si>
    <t>4210</t>
  </si>
  <si>
    <t xml:space="preserve">Balances de Materia y Energía, Máquinas de Transformación Física y Química, Ecología, Medio Ambiente y Energía </t>
  </si>
  <si>
    <t>Diseño y Optimización de Procesos Industriales (ICA 4201)</t>
  </si>
  <si>
    <t>ICA3130</t>
  </si>
  <si>
    <t>3130</t>
  </si>
  <si>
    <t>Ecología, Medio Ambiente y Energía</t>
  </si>
  <si>
    <t>Microbiología Industrial y Ambiental</t>
  </si>
  <si>
    <t>Ecología, Medio Ambiente y Energía (ICA3103)</t>
  </si>
  <si>
    <t>ICE5204</t>
  </si>
  <si>
    <t>5204</t>
  </si>
  <si>
    <t xml:space="preserve">Artificial Intelligence </t>
  </si>
  <si>
    <r>
      <rPr>
        <i/>
        <sz val="11"/>
        <color rgb="FF000000"/>
        <rFont val="Tahoma"/>
        <charset val="134"/>
      </rPr>
      <t>(Probabilidad y Estadística, Señales y Sistemas)</t>
    </r>
    <r>
      <rPr>
        <sz val="11"/>
        <color rgb="FF000000"/>
        <rFont val="Tahoma"/>
        <charset val="134"/>
      </rPr>
      <t xml:space="preserve"> o (Probabilidades y Estadísticas y Programación de bajo nivel)</t>
    </r>
  </si>
  <si>
    <t>Inteligencia Artificial</t>
  </si>
  <si>
    <t>ICE5203</t>
  </si>
  <si>
    <t>5203</t>
  </si>
  <si>
    <t>Protecciones Eléctricas</t>
  </si>
  <si>
    <t>ICE5102</t>
  </si>
  <si>
    <t>Redes de Comunicación</t>
  </si>
  <si>
    <t>ELECTIVO TITULACION ELECTRICA</t>
  </si>
  <si>
    <t>ICA5220</t>
  </si>
  <si>
    <t>5220</t>
  </si>
  <si>
    <t>Economía Ambiental y de los Recursos Naturales</t>
  </si>
  <si>
    <t>Evaluación de Proyectos de Ingeniería Ambiental</t>
  </si>
  <si>
    <t>Economía Ambiental y de los Recursos Naturales (ICA 5202)</t>
  </si>
  <si>
    <t>IOC5104</t>
  </si>
  <si>
    <t>Evaluación de Proyectos de Ingeniería</t>
  </si>
  <si>
    <t xml:space="preserve">Métodos y Técnicas de Construcción, Métodos Computacionales en Obras Civiles </t>
  </si>
  <si>
    <t>Contabilidad y Estados Financieros</t>
  </si>
  <si>
    <t>Contabilidad y Control de Gestión</t>
  </si>
  <si>
    <t>Contabilidad General y de costos</t>
  </si>
  <si>
    <t>Métodos Estadísticos para la Gestión</t>
  </si>
  <si>
    <t>Optimización</t>
  </si>
  <si>
    <t>6*</t>
  </si>
  <si>
    <t>Introducción a la Optimización (6)</t>
  </si>
  <si>
    <t>Bases de Datos</t>
  </si>
  <si>
    <t>Bases de Datos Aplicadas (5)</t>
  </si>
  <si>
    <t>Microeconomía</t>
  </si>
  <si>
    <t>Modelos Estocásticos</t>
  </si>
  <si>
    <t>Probabilidades y Estadística, Optimización(p)</t>
  </si>
  <si>
    <t>Programación Matemática</t>
  </si>
  <si>
    <t>Probabilidades y Estadística, Optimización</t>
  </si>
  <si>
    <t>Econometría</t>
  </si>
  <si>
    <t>Econometría y Demanda por Transporte</t>
  </si>
  <si>
    <t>4120</t>
  </si>
  <si>
    <t>Finanzas I</t>
  </si>
  <si>
    <t>Finanzas</t>
  </si>
  <si>
    <t>Simulación</t>
  </si>
  <si>
    <t>Métodos Estadísticos para la Gestión, Modelos Estocásticos</t>
  </si>
  <si>
    <t>Diseño y Evaluación de Proyectos Industriales</t>
  </si>
  <si>
    <t>Simulación, Finanzas I</t>
  </si>
  <si>
    <t>Podría ser Evaluación de Proyectos para ICI</t>
  </si>
  <si>
    <t>4230</t>
  </si>
  <si>
    <t>Finanzas II</t>
  </si>
  <si>
    <t>Instrumentos Financieros</t>
  </si>
  <si>
    <t>4220</t>
  </si>
  <si>
    <t>Gestión de Operaciones</t>
  </si>
  <si>
    <t>Programación Matemática, Econometría (p)</t>
  </si>
  <si>
    <t>Macroeconomía</t>
  </si>
  <si>
    <t>5130</t>
  </si>
  <si>
    <t>Logistics</t>
  </si>
  <si>
    <t>Logística</t>
  </si>
  <si>
    <t>Marketing</t>
  </si>
  <si>
    <t>Ic(Ea)</t>
  </si>
  <si>
    <t>5110</t>
  </si>
  <si>
    <t>Organización Industrial</t>
  </si>
  <si>
    <t>Gestión de Personas y Desarrollo Organizacional</t>
  </si>
  <si>
    <t>Diseño Organizacional de RR HH</t>
  </si>
  <si>
    <t>5210</t>
  </si>
  <si>
    <t>Gestión Estratégica</t>
  </si>
  <si>
    <t>Ob</t>
  </si>
  <si>
    <t>ICI5200</t>
  </si>
  <si>
    <t>5200</t>
  </si>
  <si>
    <t>Deep Learning</t>
  </si>
  <si>
    <t>10a</t>
  </si>
  <si>
    <t>Métodos Estadísticos para la Gestión, Modelos Estocásticos, Programación Matemática</t>
  </si>
  <si>
    <t>Deep Learning (electivo)</t>
  </si>
  <si>
    <t>ICI5030</t>
  </si>
  <si>
    <t>5030</t>
  </si>
  <si>
    <t>Gestión Financiera</t>
  </si>
  <si>
    <t>10f</t>
  </si>
  <si>
    <t>Administración de los Riesgos Financieros</t>
  </si>
  <si>
    <t>5020</t>
  </si>
  <si>
    <t>Modelamiento del Transporte</t>
  </si>
  <si>
    <t>10g</t>
  </si>
  <si>
    <t>Modelamiento del Transporte (Electivo)</t>
  </si>
  <si>
    <t>Modelamiento</t>
  </si>
  <si>
    <t>6100</t>
  </si>
  <si>
    <t>Tecnologías para la Transformación Digital</t>
  </si>
  <si>
    <t>11a</t>
  </si>
  <si>
    <t>Microeconomía, Simulación</t>
  </si>
  <si>
    <t>Tecnologías para la Transformación Digital (Electivo)</t>
  </si>
  <si>
    <t>Gestión de Operaciones en Servicios</t>
  </si>
  <si>
    <t>6010</t>
  </si>
  <si>
    <t>Tópicos en Finanzas</t>
  </si>
  <si>
    <t>11f</t>
  </si>
  <si>
    <t>Estudio de Casos en Finanzas</t>
  </si>
  <si>
    <t>Estudio de Casos en Gestión de Operaciones</t>
  </si>
  <si>
    <t>11g</t>
  </si>
  <si>
    <t>Logístics</t>
  </si>
  <si>
    <t>5000</t>
  </si>
  <si>
    <t>Business Analytics</t>
  </si>
  <si>
    <t>9a</t>
  </si>
  <si>
    <t>Econometría, Basesde Datos</t>
  </si>
  <si>
    <t>Business Analytics (Electivo)</t>
  </si>
  <si>
    <t>5100</t>
  </si>
  <si>
    <t>Instituciones Financieras</t>
  </si>
  <si>
    <t>9f</t>
  </si>
  <si>
    <t>Análisis de Estados Financieros</t>
  </si>
  <si>
    <t>5010</t>
  </si>
  <si>
    <t>Series de Tiempo</t>
  </si>
  <si>
    <t>9g</t>
  </si>
  <si>
    <t>Series de Tiempo (Electivo)</t>
  </si>
  <si>
    <t>ICA5140</t>
  </si>
  <si>
    <t>5140</t>
  </si>
  <si>
    <t>Evaluación de Proyectos de Ingeniería Ambiental</t>
  </si>
  <si>
    <t>Diseño y Optimización de Procesos Industriales, Cinética y Diseño de Reactores Químicos</t>
  </si>
  <si>
    <t>Evaluación de Proyectos de Ingeniería (IOC 5103)</t>
  </si>
  <si>
    <t>Podría ser Evaluación de Proyectos sólo para alumnos de obras</t>
  </si>
  <si>
    <t>IOC5206</t>
  </si>
  <si>
    <t>5206</t>
  </si>
  <si>
    <t>Administración y Control de Proyectos</t>
  </si>
  <si>
    <t>10i</t>
  </si>
  <si>
    <t xml:space="preserve">Cost Engineering </t>
  </si>
  <si>
    <t xml:space="preserve">Análisis Conceptual de Proyectos </t>
  </si>
  <si>
    <t>ING4105</t>
  </si>
  <si>
    <t>Filosofía de las Ciencias</t>
  </si>
  <si>
    <t>Optativo PEG Ciencias (3)</t>
  </si>
  <si>
    <t>IOC3203</t>
  </si>
  <si>
    <t>Fluid Mechanics</t>
  </si>
  <si>
    <t>Ecuaciones Diferenciales, Estática</t>
  </si>
  <si>
    <t>Mecánica de Fluidos</t>
  </si>
  <si>
    <t>4206</t>
  </si>
  <si>
    <t>Almacenamiento y Procesamiento Masivo de Datos</t>
  </si>
  <si>
    <t>Web Technologies, Artificial Intelligence</t>
  </si>
  <si>
    <t>Almacenamiento y Procesamiento Masivo de Datos (ICC5140)</t>
  </si>
  <si>
    <t xml:space="preserve">Electivo Computación </t>
  </si>
  <si>
    <t>ICA6110</t>
  </si>
  <si>
    <t>6110</t>
  </si>
  <si>
    <t>Gestión Ambiental y Producción Limpia</t>
  </si>
  <si>
    <t>Legislación y Evaluación de Impacto Ambiental, Economía Ambiental y de los Recursos Naturales </t>
  </si>
  <si>
    <t>Gestión Ambiental y Producción Limpia (ICA6101)</t>
  </si>
  <si>
    <t>IOC3201</t>
  </si>
  <si>
    <t>Análisis Estructural</t>
  </si>
  <si>
    <t>Mecánica de Materiales</t>
  </si>
  <si>
    <t>4203</t>
  </si>
  <si>
    <t>Aplicaciones Móviles</t>
  </si>
  <si>
    <t>Web Technologies</t>
  </si>
  <si>
    <t>Aplicaciones móviles</t>
  </si>
  <si>
    <t>ICA5110</t>
  </si>
  <si>
    <t>Gestión Residuos Sólidos y Remediación de Suelos</t>
  </si>
  <si>
    <t>Ingeniería de Bioprocesos Ambientales</t>
  </si>
  <si>
    <t>Gestión Residuos Sólidos y Remediación de Suelos (ICA5101)</t>
  </si>
  <si>
    <t>Fundamentos de Ciberseguridad</t>
  </si>
  <si>
    <t>Sistemas Operativos y Redes, Web Technologies</t>
  </si>
  <si>
    <t>Teoría de Autómatas y Lenguajes formales</t>
  </si>
  <si>
    <t>IOC4103</t>
  </si>
  <si>
    <t>Hidráulica</t>
  </si>
  <si>
    <t>Fluids Mechanics</t>
  </si>
  <si>
    <t>Mecánica de Fluidos Aplicada</t>
  </si>
  <si>
    <t>Algorithms and Competitive Programming</t>
  </si>
  <si>
    <t>Estructuras de Datos y Algoritmos</t>
  </si>
  <si>
    <t>Ic</t>
  </si>
  <si>
    <t>Diseño y Análisis de Algoritmos</t>
  </si>
  <si>
    <t>IOC5106</t>
  </si>
  <si>
    <t>Cost Engineering</t>
  </si>
  <si>
    <t>9i</t>
  </si>
  <si>
    <t>228 SCT Aprobados en total</t>
  </si>
  <si>
    <t>Electivo Obras</t>
  </si>
  <si>
    <t>Inteligencia Artificicial Aplicada</t>
  </si>
  <si>
    <t>Artificial Intelligence</t>
  </si>
  <si>
    <t>Calidad y Verificación de Software</t>
  </si>
  <si>
    <t>IOC5120</t>
  </si>
  <si>
    <t>Diseño en Acero</t>
  </si>
  <si>
    <t>Introducción al Diseño en madera y acero</t>
  </si>
  <si>
    <t>IOC5204</t>
  </si>
  <si>
    <t>Diseño Sismorresistente</t>
  </si>
  <si>
    <t>10e</t>
  </si>
  <si>
    <t xml:space="preserve">Hormigón Armado , Dynamics of Structures </t>
  </si>
  <si>
    <t>IOC4203</t>
  </si>
  <si>
    <t>Hidrología</t>
  </si>
  <si>
    <t>Probabilidades y Estadística, Hidraúlica</t>
  </si>
  <si>
    <t>IOC5100</t>
  </si>
  <si>
    <t>Dynamics of Structures</t>
  </si>
  <si>
    <t xml:space="preserve"> Dynamics of Structures IOC 5101</t>
  </si>
  <si>
    <t>Dinámica de Estructuras</t>
  </si>
  <si>
    <t>ICA4230</t>
  </si>
  <si>
    <t>Microbiología Industrial y Ambiental, Balances de Materia y Energía para ICA ó Para alumnos de la CT Microbiología Industrial y Ambienta y Fundamentos de Ingeniería de Procesos</t>
  </si>
  <si>
    <t>Ingeniería de Bioprocesos Ambientales (ICA4204)</t>
  </si>
  <si>
    <t>PROCESOS QUIMICOS</t>
  </si>
  <si>
    <t>ICA5130</t>
  </si>
  <si>
    <t>Legislación y Evaluación de Impacto Ambiental</t>
  </si>
  <si>
    <t>Oa</t>
  </si>
  <si>
    <t>Legislación y Evaluación de Impacto Ambiental (ICA5103)</t>
  </si>
  <si>
    <t>Emprendimiento e Innovación en Software</t>
  </si>
  <si>
    <t xml:space="preserve">Proyecto de Desarrollo de Software, Gestión de Proyectos de Software </t>
  </si>
  <si>
    <t>Emprendimiento e Innovación en Software (ICC6101)</t>
  </si>
  <si>
    <t>Arquitectura de Computadores</t>
  </si>
  <si>
    <t>ICA4120</t>
  </si>
  <si>
    <t>Máquinas de Transformación Física y Química</t>
  </si>
  <si>
    <t>Máquinas de Transformación Física y Química (ICA4102)</t>
  </si>
  <si>
    <t>IOC3103</t>
  </si>
  <si>
    <t>Métodos Numéricos</t>
  </si>
  <si>
    <t>Programación, Cálculo II</t>
  </si>
  <si>
    <t>Cálculo Numérico</t>
  </si>
  <si>
    <t>IOC5107</t>
  </si>
  <si>
    <t>Finite Elements</t>
  </si>
  <si>
    <t>9e</t>
  </si>
  <si>
    <t xml:space="preserve">Análisis Estructural , Métodos Computacionales en Obras Civiles </t>
  </si>
  <si>
    <t>Elementos Finitos</t>
  </si>
  <si>
    <t>IOC5150</t>
  </si>
  <si>
    <t>5150</t>
  </si>
  <si>
    <t>Fundaciones</t>
  </si>
  <si>
    <t>Programación de Bajo Nivel</t>
  </si>
  <si>
    <t>ICA3240</t>
  </si>
  <si>
    <t>3240</t>
  </si>
  <si>
    <t xml:space="preserve">Biología de los Microorganismos, Termodinámica. Para alumnos de la concentración tecnológica: Fundamentos de Ingeniería de Procesos </t>
  </si>
  <si>
    <t>Microbiología Industrial y Ambiental (ICA3204)</t>
  </si>
  <si>
    <t>ICA5150</t>
  </si>
  <si>
    <t>Obras Civiles Sanitarias</t>
  </si>
  <si>
    <t>Hidrología </t>
  </si>
  <si>
    <t>Obras Civiles Sanitarias (ICA4202)</t>
  </si>
  <si>
    <t>3100</t>
  </si>
  <si>
    <t>Paradigmas de Programación</t>
  </si>
  <si>
    <t>Programación Orientada a Objetos</t>
  </si>
  <si>
    <t>Programación Avanzada (6)</t>
  </si>
  <si>
    <t>Gestión de Proyectos de Software</t>
  </si>
  <si>
    <t>Introducción a la Ingeniería de Software</t>
  </si>
  <si>
    <t>Gestión de Proyectos de Software (ICC5150)</t>
  </si>
  <si>
    <t>PROCESOS Y GESTION DE PROYECT</t>
  </si>
  <si>
    <t>ING4140</t>
  </si>
  <si>
    <t>4140</t>
  </si>
  <si>
    <t>Pensamiento de Diseño Aplicado a Ingeniería</t>
  </si>
  <si>
    <t>150 sct aprobados</t>
  </si>
  <si>
    <t>Taller de Diseño de Producto + Innovation Workshop</t>
  </si>
  <si>
    <t>IOC5105</t>
  </si>
  <si>
    <t>Hidráulica Urbana</t>
  </si>
  <si>
    <t>Paradigmas de Programación, Bases de Datos (p)</t>
  </si>
  <si>
    <t>Web Technologies (ICC4130)</t>
  </si>
  <si>
    <t>Tecnologías de la Web</t>
  </si>
  <si>
    <t>IOC4101</t>
  </si>
  <si>
    <t>Hormigón Armado</t>
  </si>
  <si>
    <t>Ec, Ib</t>
  </si>
  <si>
    <t>Estructuras de Hormigón Armado</t>
  </si>
  <si>
    <t>IOC5205</t>
  </si>
  <si>
    <t>5205</t>
  </si>
  <si>
    <t>Hormigón Armado Avanzado</t>
  </si>
  <si>
    <t>240 SCT Aprobados en total</t>
  </si>
  <si>
    <t>IOC5207</t>
  </si>
  <si>
    <t>5207</t>
  </si>
  <si>
    <t>Ingeniería Vial</t>
  </si>
  <si>
    <t>Métodos y Técnicas de Construcción, Sistemas de Transporte</t>
  </si>
  <si>
    <t>ING4106</t>
  </si>
  <si>
    <t>Pre-Professional Practice</t>
  </si>
  <si>
    <t>170 sct aprobados</t>
  </si>
  <si>
    <t>Trabajo en la Empresa I</t>
  </si>
  <si>
    <t>IOC3204</t>
  </si>
  <si>
    <t>Introducción a la Geomecánica</t>
  </si>
  <si>
    <t>Web technologies</t>
  </si>
  <si>
    <t>Introducción a la Ingeniería en Software</t>
  </si>
  <si>
    <t>IOC4102</t>
  </si>
  <si>
    <t>Materiales de Construcción</t>
  </si>
  <si>
    <t>IOC3101</t>
  </si>
  <si>
    <t>Ecuaciones Diferenciales (p), Estática</t>
  </si>
  <si>
    <t>Mecánica de Materiales (6)</t>
  </si>
  <si>
    <t>IOC4201</t>
  </si>
  <si>
    <t>Métodos Computacionales en Obras Civiles</t>
  </si>
  <si>
    <t xml:space="preserve">Hormigón Armado, Hidraúlica, Métodos Numéricos </t>
  </si>
  <si>
    <t>ING6104</t>
  </si>
  <si>
    <t>Professional Practice</t>
  </si>
  <si>
    <t>282 SCT</t>
  </si>
  <si>
    <t>Ic(Eb,Ob)</t>
  </si>
  <si>
    <t>Trabajo en la Empresa II</t>
  </si>
  <si>
    <t>ING5203</t>
  </si>
  <si>
    <t>Proyecto de Titulo 1</t>
  </si>
  <si>
    <t>276 SCT</t>
  </si>
  <si>
    <t>Seminario de Titulación</t>
  </si>
  <si>
    <t>IOC4202</t>
  </si>
  <si>
    <t>Métodos y Técnicas de Construcción</t>
  </si>
  <si>
    <t>Topografía Aplicada, Materiales de Construcción</t>
  </si>
  <si>
    <t>ING6103</t>
  </si>
  <si>
    <t>Proyecto de Titulo 2</t>
  </si>
  <si>
    <t>Ec,Oc</t>
  </si>
  <si>
    <t>Memoria</t>
  </si>
  <si>
    <t>ING5206</t>
  </si>
  <si>
    <t>Seminario de Ética Profesional</t>
  </si>
  <si>
    <t>270 SCT</t>
  </si>
  <si>
    <t>IOC6101</t>
  </si>
  <si>
    <t>6101</t>
  </si>
  <si>
    <t>Proyecto Civil (DPI)</t>
  </si>
  <si>
    <t>11i</t>
  </si>
  <si>
    <t xml:space="preserve">Administración y Control de Proyectos </t>
  </si>
  <si>
    <t>IOC6102</t>
  </si>
  <si>
    <t>6102</t>
  </si>
  <si>
    <t>Proyecto Civil (Estructuras)</t>
  </si>
  <si>
    <t>11e</t>
  </si>
  <si>
    <t xml:space="preserve">Diseño Sismorresistente </t>
  </si>
  <si>
    <t>Podría ser Proyecto Civil</t>
  </si>
  <si>
    <t>ICA3102</t>
  </si>
  <si>
    <t>Termotecnia</t>
  </si>
  <si>
    <t>Termotecnia (ICA3102)</t>
  </si>
  <si>
    <t>Termotecnia (5)</t>
  </si>
  <si>
    <t>Proyecto Desarrollo de Software</t>
  </si>
  <si>
    <t>Algorithms and Competitive Programming, Web Technologies, Artificial Intelligence</t>
  </si>
  <si>
    <t>Proyecto Desarrollo de Software (ICC4201)</t>
  </si>
  <si>
    <t>Taller de Desarrollo de Software</t>
  </si>
  <si>
    <t>ICA3220</t>
  </si>
  <si>
    <t>3220</t>
  </si>
  <si>
    <t>Transferencia de Calor</t>
  </si>
  <si>
    <t>Métodos Numéricos, Termotecnia</t>
  </si>
  <si>
    <t>Transferencia de Calor (ICA3202)</t>
  </si>
  <si>
    <t>IOC4010</t>
  </si>
  <si>
    <t>Ingeniería y Gestión del Tránsito</t>
  </si>
  <si>
    <t>Ingeniería de Tránsito</t>
  </si>
  <si>
    <t>IOC3020</t>
  </si>
  <si>
    <t>3020</t>
  </si>
  <si>
    <t>Teoría de Tráfico Vehicular</t>
  </si>
  <si>
    <t xml:space="preserve">Modelos de Tráfico </t>
  </si>
  <si>
    <t>IOC4206</t>
  </si>
  <si>
    <t>Proyecto de Vialidad Urbana</t>
  </si>
  <si>
    <t>Ingeniería y Gestión del Tránsito, Sistemas de Transporte o Ingeniería y Gestión del Tránsito, Teoría de Tráfico Vehicular</t>
  </si>
  <si>
    <t>Sistemas Embebidos</t>
  </si>
  <si>
    <t>Arquitectura de computadores, Articial Intelligence</t>
  </si>
  <si>
    <t>Sistemas Embebidos (ICC4200)</t>
  </si>
  <si>
    <t>Sistemas Operativos y Redes</t>
  </si>
  <si>
    <t>Software Architecture</t>
  </si>
  <si>
    <t>Fundamentos de la Ciberseguridad, Almacenamiento y Procesamiento Masivo de Datos, Software Design (p)</t>
  </si>
  <si>
    <t>Ic(Ob)</t>
  </si>
  <si>
    <t>Software Architecture (ICC5202)</t>
  </si>
  <si>
    <t>Podría ser Arquitectuta y diseño avanzado de software</t>
  </si>
  <si>
    <t>5108</t>
  </si>
  <si>
    <t>Software Design</t>
  </si>
  <si>
    <t>Software Design (ICC5105)</t>
  </si>
  <si>
    <t>ARQ. Y DISEÑO AVANZADO DE SOFTWARE</t>
  </si>
  <si>
    <t>IOC5203</t>
  </si>
  <si>
    <t>Tecnología del Hormigón</t>
  </si>
  <si>
    <t>Ia, Ec</t>
  </si>
  <si>
    <t>IOC3220</t>
  </si>
  <si>
    <t>Topografía Aplicada</t>
  </si>
  <si>
    <t>Topografía</t>
  </si>
  <si>
    <t>ICA3210</t>
  </si>
  <si>
    <t>3210</t>
  </si>
  <si>
    <t>Transferencia de Masa</t>
  </si>
  <si>
    <t>Ecuaciones Diferenciales, Métodos Numéricos</t>
  </si>
  <si>
    <t>Transferencia de Masa (ICA3201)</t>
  </si>
  <si>
    <t>ICA5210</t>
  </si>
  <si>
    <t>Wastewater Treatment</t>
  </si>
  <si>
    <t>Obras Civiles Sanitarias </t>
  </si>
  <si>
    <t>Wastewater Treatment (ICA5201)</t>
  </si>
  <si>
    <t>User Experience Design</t>
  </si>
  <si>
    <t>Proyecto de Desarrollo de Software</t>
  </si>
  <si>
    <t>Human Computer Interaction</t>
  </si>
  <si>
    <t>Interacción Humano Computador</t>
  </si>
  <si>
    <t>ICA7000</t>
  </si>
  <si>
    <t>Fundamentos de Ingeniería de Procesos</t>
  </si>
  <si>
    <t>*</t>
  </si>
  <si>
    <t>Termodinámica y Biología de los Microorganismos</t>
  </si>
  <si>
    <t>Fundamentos de Ingeniería de Procesos (ICA 7000)</t>
  </si>
  <si>
    <t>IOC4207</t>
  </si>
  <si>
    <t>4207</t>
  </si>
  <si>
    <t>Sistemas de Transporte</t>
  </si>
  <si>
    <t>Probabilidades y Estadística, Fundamentos de Economía</t>
  </si>
  <si>
    <t>Año 1</t>
  </si>
  <si>
    <t>Año 2</t>
  </si>
  <si>
    <t>Año 3</t>
  </si>
  <si>
    <t>Año 4</t>
  </si>
  <si>
    <t>Año 5</t>
  </si>
  <si>
    <t>Año 6</t>
  </si>
  <si>
    <t>Curso 1</t>
  </si>
  <si>
    <t>-</t>
  </si>
  <si>
    <t>8</t>
  </si>
  <si>
    <t>6</t>
  </si>
  <si>
    <r>
      <rPr>
        <sz val="10"/>
        <rFont val="Arial"/>
        <charset val="134"/>
      </rPr>
      <t>1,4,</t>
    </r>
    <r>
      <rPr>
        <sz val="10"/>
        <color rgb="FFFF0000"/>
        <rFont val="Arial"/>
        <charset val="134"/>
      </rPr>
      <t>3</t>
    </r>
  </si>
  <si>
    <t>14</t>
  </si>
  <si>
    <t>3,8,9</t>
  </si>
  <si>
    <t>20</t>
  </si>
  <si>
    <t>15</t>
  </si>
  <si>
    <t>26</t>
  </si>
  <si>
    <t>32</t>
  </si>
  <si>
    <t>38</t>
  </si>
  <si>
    <t>43</t>
  </si>
  <si>
    <t>9</t>
  </si>
  <si>
    <t>48</t>
  </si>
  <si>
    <t>53</t>
  </si>
  <si>
    <t>60</t>
  </si>
  <si>
    <t>Licenciatura Especialidad</t>
  </si>
  <si>
    <t>Proyecto Licenciatura</t>
  </si>
  <si>
    <t>Especialidad</t>
  </si>
  <si>
    <t>Electivo Especialidad</t>
  </si>
  <si>
    <t>Curso 2</t>
  </si>
  <si>
    <t>1,4</t>
  </si>
  <si>
    <t>21</t>
  </si>
  <si>
    <t>15,16</t>
  </si>
  <si>
    <t>27</t>
  </si>
  <si>
    <t>33</t>
  </si>
  <si>
    <t>39</t>
  </si>
  <si>
    <t>44</t>
  </si>
  <si>
    <t>49</t>
  </si>
  <si>
    <t>54</t>
  </si>
  <si>
    <t>61</t>
  </si>
  <si>
    <t>Curso 3</t>
  </si>
  <si>
    <t>5</t>
  </si>
  <si>
    <t>10</t>
  </si>
  <si>
    <t>1</t>
  </si>
  <si>
    <t>16</t>
  </si>
  <si>
    <t>22</t>
  </si>
  <si>
    <t>2,15,16</t>
  </si>
  <si>
    <t>28</t>
  </si>
  <si>
    <t>34</t>
  </si>
  <si>
    <t>40</t>
  </si>
  <si>
    <t>45</t>
  </si>
  <si>
    <t>50</t>
  </si>
  <si>
    <t>55</t>
  </si>
  <si>
    <t>4</t>
  </si>
  <si>
    <t>276 cr</t>
  </si>
  <si>
    <t>62</t>
  </si>
  <si>
    <t>18</t>
  </si>
  <si>
    <t>Ec, Ob</t>
  </si>
  <si>
    <t>Proyecto de Título 1</t>
  </si>
  <si>
    <t>Proyecto de Título 2</t>
  </si>
  <si>
    <t>Curso 4</t>
  </si>
  <si>
    <t>11</t>
  </si>
  <si>
    <t>17</t>
  </si>
  <si>
    <t>23</t>
  </si>
  <si>
    <t>9,16</t>
  </si>
  <si>
    <t>29</t>
  </si>
  <si>
    <t>35</t>
  </si>
  <si>
    <t>41</t>
  </si>
  <si>
    <t>46</t>
  </si>
  <si>
    <t>51</t>
  </si>
  <si>
    <t>56</t>
  </si>
  <si>
    <t>Concentración Tecnológica</t>
  </si>
  <si>
    <t>Mención/Electivo Especialidad</t>
  </si>
  <si>
    <t>Curso 5</t>
  </si>
  <si>
    <t>24</t>
  </si>
  <si>
    <t>3</t>
  </si>
  <si>
    <t>36</t>
  </si>
  <si>
    <t>42</t>
  </si>
  <si>
    <t>Ib(Ea)</t>
  </si>
  <si>
    <t>150 cr</t>
  </si>
  <si>
    <t>52</t>
  </si>
  <si>
    <t>57</t>
  </si>
  <si>
    <t>Curso 6</t>
  </si>
  <si>
    <t>12</t>
  </si>
  <si>
    <t>25</t>
  </si>
  <si>
    <t>30</t>
  </si>
  <si>
    <t>47</t>
  </si>
  <si>
    <t>58</t>
  </si>
  <si>
    <t>2</t>
  </si>
  <si>
    <t>Ec,Ia</t>
  </si>
  <si>
    <t>270cr</t>
  </si>
  <si>
    <t>Teología I</t>
  </si>
  <si>
    <t>Teología II</t>
  </si>
  <si>
    <t>Teología III</t>
  </si>
  <si>
    <t>Minor</t>
  </si>
  <si>
    <t>Optativo Arte y Literatura/Historia y Pensamiento Contemporáneo</t>
  </si>
  <si>
    <t>Seminario Ética Profesional</t>
  </si>
  <si>
    <t>Curso 7</t>
  </si>
  <si>
    <t>7</t>
  </si>
  <si>
    <t>13</t>
  </si>
  <si>
    <t>19</t>
  </si>
  <si>
    <t>31</t>
  </si>
  <si>
    <t xml:space="preserve"> </t>
  </si>
  <si>
    <t>37</t>
  </si>
  <si>
    <t>170 cr</t>
  </si>
  <si>
    <t>Ic(Eb, Ob)</t>
  </si>
  <si>
    <t>282 cr</t>
  </si>
  <si>
    <t>APR</t>
  </si>
  <si>
    <t>Inglés ALTE 3</t>
  </si>
  <si>
    <t>#</t>
  </si>
  <si>
    <t>SCT</t>
  </si>
  <si>
    <t>HT</t>
  </si>
  <si>
    <t>Req.</t>
  </si>
  <si>
    <t>Nombre Curso</t>
  </si>
  <si>
    <r>
      <rPr>
        <sz val="10"/>
        <rFont val="Arial"/>
        <charset val="134"/>
      </rPr>
      <t>20,</t>
    </r>
    <r>
      <rPr>
        <sz val="10"/>
        <color rgb="FFFF0000"/>
        <rFont val="Arial"/>
        <charset val="134"/>
      </rPr>
      <t>26</t>
    </r>
  </si>
  <si>
    <t>27,32</t>
  </si>
  <si>
    <t>38,40</t>
  </si>
  <si>
    <t>3,9</t>
  </si>
  <si>
    <t>20,26</t>
  </si>
  <si>
    <r>
      <rPr>
        <sz val="10"/>
        <rFont val="Arial"/>
        <charset val="134"/>
      </rPr>
      <t>33,</t>
    </r>
    <r>
      <rPr>
        <sz val="10"/>
        <color rgb="FFFF0000"/>
        <rFont val="Arial"/>
        <charset val="134"/>
      </rPr>
      <t>39</t>
    </r>
  </si>
  <si>
    <t>Mención</t>
  </si>
  <si>
    <t>270 cr</t>
  </si>
  <si>
    <t>Mención Gestión de Operaciones</t>
  </si>
  <si>
    <t>Sem</t>
  </si>
  <si>
    <t>Proyecto Titulo 1</t>
  </si>
  <si>
    <t>59</t>
  </si>
  <si>
    <t>Proyecto Titulo 2</t>
  </si>
  <si>
    <t>Mención Ingeniería Financiera</t>
  </si>
  <si>
    <t>Electivo de Especialidad</t>
  </si>
  <si>
    <t>Tópicos de Finanzas</t>
  </si>
  <si>
    <t>Mención Analítica de Datos</t>
  </si>
  <si>
    <t>34, 39</t>
  </si>
  <si>
    <t>27, 32, 33</t>
  </si>
  <si>
    <t>35,38</t>
  </si>
  <si>
    <r>
      <rPr>
        <sz val="10"/>
        <color rgb="FFFF0000"/>
        <rFont val="Arial"/>
        <charset val="134"/>
      </rPr>
      <t>14</t>
    </r>
    <r>
      <rPr>
        <sz val="10"/>
        <rFont val="Arial"/>
        <charset val="134"/>
      </rPr>
      <t>,23</t>
    </r>
  </si>
  <si>
    <t>28,38,40</t>
  </si>
  <si>
    <t>228 cr</t>
  </si>
  <si>
    <t>33,35</t>
  </si>
  <si>
    <t>Ia,Ec</t>
  </si>
  <si>
    <t>240 cr</t>
  </si>
  <si>
    <t>Proyecto Civil</t>
  </si>
  <si>
    <t>3,15</t>
  </si>
  <si>
    <t>14,23</t>
  </si>
  <si>
    <t>20,40</t>
  </si>
  <si>
    <t>43,44</t>
  </si>
  <si>
    <t>17,20</t>
  </si>
  <si>
    <t>Mención Estructuras</t>
  </si>
  <si>
    <t>32,43</t>
  </si>
  <si>
    <t>38,48</t>
  </si>
  <si>
    <t>Proyecto Civil (Mención Estructuras)</t>
  </si>
  <si>
    <t>Mención Desarrollo de Proyectos de Infraestructura</t>
  </si>
  <si>
    <t>44,46</t>
  </si>
  <si>
    <t>Proyecto Civil (Mención DPI)</t>
  </si>
  <si>
    <t>14,21</t>
  </si>
  <si>
    <t>200 cr.</t>
  </si>
  <si>
    <t>20,27</t>
  </si>
  <si>
    <t xml:space="preserve">Electivo </t>
  </si>
  <si>
    <t>Ec,Ib</t>
  </si>
  <si>
    <t>20,33</t>
  </si>
  <si>
    <t>16,27</t>
  </si>
  <si>
    <t>Ic(Ec)</t>
  </si>
  <si>
    <r>
      <rPr>
        <sz val="10"/>
        <color rgb="FFFF0000"/>
        <rFont val="Arial"/>
        <charset val="134"/>
      </rPr>
      <t>22</t>
    </r>
    <r>
      <rPr>
        <sz val="10"/>
        <rFont val="Arial"/>
        <charset val="134"/>
      </rPr>
      <t>,26</t>
    </r>
  </si>
  <si>
    <t>34,40</t>
  </si>
  <si>
    <t>Fundamentos de Energías Renovables</t>
  </si>
  <si>
    <r>
      <rPr>
        <sz val="10"/>
        <color rgb="FFFF0000"/>
        <rFont val="Arial"/>
        <charset val="134"/>
      </rPr>
      <t>26</t>
    </r>
    <r>
      <rPr>
        <sz val="10"/>
        <rFont val="Arial"/>
        <charset val="134"/>
      </rPr>
      <t>,28</t>
    </r>
  </si>
  <si>
    <t>Electivo</t>
  </si>
  <si>
    <t>20,35,40</t>
  </si>
  <si>
    <t>43,53</t>
  </si>
  <si>
    <t>32,35</t>
  </si>
  <si>
    <r>
      <rPr>
        <sz val="10"/>
        <rFont val="Arial"/>
        <charset val="134"/>
      </rPr>
      <t>48,39,</t>
    </r>
    <r>
      <rPr>
        <sz val="10"/>
        <color rgb="FFFF0000"/>
        <rFont val="Arial"/>
        <charset val="134"/>
      </rPr>
      <t>45</t>
    </r>
  </si>
  <si>
    <t>35,40</t>
  </si>
  <si>
    <t>Inteligencia Artificial Aplicada</t>
  </si>
  <si>
    <r>
      <rPr>
        <sz val="10"/>
        <rFont val="Arial"/>
        <charset val="134"/>
      </rPr>
      <t>26,</t>
    </r>
    <r>
      <rPr>
        <sz val="10"/>
        <color rgb="FFFF0000"/>
        <rFont val="Arial"/>
        <charset val="134"/>
      </rPr>
      <t>28</t>
    </r>
  </si>
  <si>
    <t>33,40</t>
  </si>
  <si>
    <t>14,26</t>
  </si>
  <si>
    <t>26,33</t>
  </si>
  <si>
    <t>35,38,39</t>
  </si>
  <si>
    <t>50,54</t>
  </si>
  <si>
    <t>Metodos Numéricos</t>
  </si>
  <si>
    <t>26,27</t>
  </si>
  <si>
    <t>38,39</t>
  </si>
  <si>
    <t>11,22</t>
  </si>
  <si>
    <t>Hidraúlica</t>
  </si>
  <si>
    <t>28,38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</si>
</sst>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61">
    <font>
      <sz val="11"/>
      <color theme="1"/>
      <name val="Calibri"/>
      <charset val="134"/>
      <scheme val="minor"/>
    </font>
    <font>
      <sz val="12"/>
      <color rgb="FF000000"/>
      <name val="Calibri"/>
      <charset val="134"/>
    </font>
    <font>
      <sz val="11"/>
      <color theme="1"/>
      <name val="Calibri"/>
      <charset val="134"/>
    </font>
    <font>
      <sz val="11"/>
      <color indexed="8"/>
      <name val="Calibri"/>
      <charset val="134"/>
    </font>
    <font>
      <b/>
      <sz val="10"/>
      <name val="Arial"/>
      <charset val="134"/>
    </font>
    <font>
      <sz val="10"/>
      <name val="Arial"/>
      <charset val="134"/>
    </font>
    <font>
      <sz val="9"/>
      <name val="Arial"/>
      <charset val="134"/>
    </font>
    <font>
      <b/>
      <sz val="11"/>
      <color rgb="FF000000"/>
      <name val="Calibri"/>
      <charset val="134"/>
    </font>
    <font>
      <sz val="12"/>
      <name val="Arial"/>
      <charset val="134"/>
    </font>
    <font>
      <sz val="10"/>
      <color rgb="FFFF0000"/>
      <name val="Tahoma"/>
      <charset val="134"/>
    </font>
    <font>
      <sz val="12"/>
      <color theme="1"/>
      <name val="Calibri"/>
      <charset val="134"/>
      <scheme val="minor"/>
    </font>
    <font>
      <sz val="11"/>
      <name val="Arial"/>
      <charset val="134"/>
    </font>
    <font>
      <b/>
      <sz val="11"/>
      <name val="Arial"/>
      <charset val="134"/>
    </font>
    <font>
      <sz val="8"/>
      <name val="Arial"/>
      <charset val="134"/>
    </font>
    <font>
      <b/>
      <sz val="10"/>
      <color theme="1"/>
      <name val="Tahoma"/>
      <charset val="134"/>
    </font>
    <font>
      <sz val="10"/>
      <color theme="1"/>
      <name val="Tahoma"/>
      <charset val="134"/>
    </font>
    <font>
      <b/>
      <sz val="9"/>
      <color theme="1"/>
      <name val="Tahoma"/>
      <charset val="134"/>
    </font>
    <font>
      <b/>
      <sz val="10"/>
      <name val="Tahoma"/>
      <charset val="134"/>
    </font>
    <font>
      <sz val="10"/>
      <name val="Tahoma"/>
      <charset val="134"/>
    </font>
    <font>
      <b/>
      <sz val="12"/>
      <color theme="1"/>
      <name val="Tahoma"/>
      <charset val="134"/>
    </font>
    <font>
      <sz val="9"/>
      <name val="Tahoma"/>
      <charset val="134"/>
    </font>
    <font>
      <sz val="8"/>
      <name val="Tahoma"/>
      <charset val="134"/>
    </font>
    <font>
      <sz val="9"/>
      <color theme="1"/>
      <name val="Tahoma"/>
      <charset val="134"/>
    </font>
    <font>
      <sz val="10"/>
      <color rgb="FFFF0000"/>
      <name val="Arial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Tahoma"/>
      <charset val="134"/>
    </font>
    <font>
      <sz val="11"/>
      <name val="Tahoma"/>
      <charset val="134"/>
    </font>
    <font>
      <b/>
      <sz val="11"/>
      <color theme="1"/>
      <name val="Tahoma"/>
      <charset val="134"/>
    </font>
    <font>
      <b/>
      <sz val="11"/>
      <color rgb="FF000000"/>
      <name val="Tahoma"/>
      <charset val="134"/>
    </font>
    <font>
      <b/>
      <sz val="11"/>
      <name val="Tahoma"/>
      <charset val="134"/>
    </font>
    <font>
      <sz val="11"/>
      <color rgb="FF000000"/>
      <name val="Tahoma"/>
      <charset val="134"/>
    </font>
    <font>
      <sz val="11"/>
      <color rgb="FFFF0000"/>
      <name val="Tahoma"/>
      <charset val="134"/>
    </font>
    <font>
      <sz val="11"/>
      <color rgb="FF000000"/>
      <name val="Tahoma"/>
      <charset val="134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Calibri"/>
      <charset val="1"/>
    </font>
    <font>
      <i/>
      <sz val="11"/>
      <color rgb="FF000000"/>
      <name val="Tahoma"/>
      <charset val="134"/>
    </font>
    <font>
      <sz val="9"/>
      <color rgb="FF000000"/>
      <name val="Calibri"/>
      <charset val="134"/>
    </font>
    <font>
      <sz val="10"/>
      <name val="SimSun"/>
      <charset val="134"/>
    </font>
    <font>
      <b/>
      <sz val="9"/>
      <color rgb="FF000000"/>
      <name val="Tahoma"/>
      <charset val="134"/>
    </font>
    <font>
      <b/>
      <sz val="9"/>
      <name val="Tahoma"/>
      <charset val="134"/>
    </font>
    <font>
      <sz val="9"/>
      <color rgb="FF000000"/>
      <name val="Tahoma"/>
      <charset val="134"/>
    </font>
    <font>
      <b/>
      <sz val="9"/>
      <name val="Calibri"/>
      <charset val="134"/>
    </font>
    <font>
      <sz val="9"/>
      <name val="Calibri"/>
      <charset val="134"/>
    </font>
    <font>
      <b/>
      <sz val="9"/>
      <color rgb="FF000000"/>
      <name val="Calibri"/>
      <charset val="134"/>
    </font>
  </fonts>
  <fills count="5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EDEDED"/>
        <bgColor rgb="FF000000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/>
    <xf numFmtId="176" fontId="33" fillId="0" borderId="0" applyFont="0" applyFill="0" applyBorder="0" applyAlignment="0" applyProtection="0">
      <alignment vertical="center"/>
    </xf>
    <xf numFmtId="44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177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0" fontId="33" fillId="21" borderId="30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31" applyNumberFormat="0" applyFill="0" applyAlignment="0" applyProtection="0">
      <alignment vertical="center"/>
    </xf>
    <xf numFmtId="0" fontId="38" fillId="0" borderId="31" applyNumberFormat="0" applyFill="0" applyAlignment="0" applyProtection="0">
      <alignment vertical="center"/>
    </xf>
    <xf numFmtId="0" fontId="39" fillId="0" borderId="32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22" borderId="33" applyNumberFormat="0" applyAlignment="0" applyProtection="0">
      <alignment vertical="center"/>
    </xf>
    <xf numFmtId="0" fontId="41" fillId="23" borderId="34" applyNumberFormat="0" applyAlignment="0" applyProtection="0">
      <alignment vertical="center"/>
    </xf>
    <xf numFmtId="0" fontId="42" fillId="23" borderId="33" applyNumberFormat="0" applyAlignment="0" applyProtection="0">
      <alignment vertical="center"/>
    </xf>
    <xf numFmtId="0" fontId="43" fillId="24" borderId="35" applyNumberFormat="0" applyAlignment="0" applyProtection="0">
      <alignment vertical="center"/>
    </xf>
    <xf numFmtId="0" fontId="44" fillId="0" borderId="36" applyNumberFormat="0" applyFill="0" applyAlignment="0" applyProtection="0">
      <alignment vertical="center"/>
    </xf>
    <xf numFmtId="0" fontId="45" fillId="0" borderId="37" applyNumberFormat="0" applyFill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50" fillId="38" borderId="0" applyNumberFormat="0" applyBorder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50" fillId="42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0" fontId="50" fillId="46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50" fillId="49" borderId="0" applyNumberFormat="0" applyBorder="0" applyAlignment="0" applyProtection="0">
      <alignment vertical="center"/>
    </xf>
    <xf numFmtId="0" fontId="50" fillId="50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0" fontId="51" fillId="0" borderId="0"/>
  </cellStyleXfs>
  <cellXfs count="264">
    <xf numFmtId="0" fontId="0" fillId="0" borderId="0" xfId="0"/>
    <xf numFmtId="0" fontId="1" fillId="0" borderId="0" xfId="0" applyFont="1"/>
    <xf numFmtId="0" fontId="2" fillId="0" borderId="0" xfId="0" applyFont="1"/>
    <xf numFmtId="1" fontId="2" fillId="0" borderId="0" xfId="0" applyNumberFormat="1" applyFont="1"/>
    <xf numFmtId="0" fontId="3" fillId="2" borderId="0" xfId="0" applyFont="1" applyFill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9" fontId="7" fillId="0" borderId="0" xfId="0" applyNumberFormat="1" applyFont="1"/>
    <xf numFmtId="49" fontId="4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8" fillId="9" borderId="4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8" fillId="10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8" fillId="11" borderId="3" xfId="0" applyFont="1" applyFill="1" applyBorder="1" applyAlignment="1">
      <alignment horizontal="center" vertical="center" wrapText="1"/>
    </xf>
    <xf numFmtId="0" fontId="8" fillId="11" borderId="4" xfId="0" applyFont="1" applyFill="1" applyBorder="1" applyAlignment="1">
      <alignment horizontal="center" vertical="center" wrapText="1"/>
    </xf>
    <xf numFmtId="0" fontId="8" fillId="12" borderId="2" xfId="0" applyFont="1" applyFill="1" applyBorder="1" applyAlignment="1">
      <alignment horizontal="center" vertical="center" wrapText="1"/>
    </xf>
    <xf numFmtId="0" fontId="8" fillId="12" borderId="3" xfId="0" applyFont="1" applyFill="1" applyBorder="1" applyAlignment="1">
      <alignment horizontal="center" vertical="center" wrapText="1"/>
    </xf>
    <xf numFmtId="0" fontId="8" fillId="12" borderId="4" xfId="0" applyFont="1" applyFill="1" applyBorder="1" applyAlignment="1">
      <alignment horizontal="center" vertical="center" wrapText="1"/>
    </xf>
    <xf numFmtId="0" fontId="8" fillId="13" borderId="2" xfId="0" applyFont="1" applyFill="1" applyBorder="1" applyAlignment="1">
      <alignment horizontal="center" vertical="center" wrapText="1"/>
    </xf>
    <xf numFmtId="0" fontId="8" fillId="13" borderId="3" xfId="0" applyFont="1" applyFill="1" applyBorder="1" applyAlignment="1">
      <alignment horizontal="center" vertical="center" wrapText="1"/>
    </xf>
    <xf numFmtId="0" fontId="8" fillId="13" borderId="4" xfId="0" applyFont="1" applyFill="1" applyBorder="1" applyAlignment="1">
      <alignment horizontal="center" vertical="center" wrapText="1"/>
    </xf>
    <xf numFmtId="0" fontId="10" fillId="0" borderId="0" xfId="0" applyFont="1"/>
    <xf numFmtId="1" fontId="1" fillId="0" borderId="0" xfId="0" applyNumberFormat="1" applyFont="1"/>
    <xf numFmtId="0" fontId="11" fillId="4" borderId="2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8" fillId="14" borderId="2" xfId="0" applyFont="1" applyFill="1" applyBorder="1" applyAlignment="1">
      <alignment horizontal="center" vertical="center" wrapText="1"/>
    </xf>
    <xf numFmtId="0" fontId="8" fillId="14" borderId="3" xfId="0" applyFont="1" applyFill="1" applyBorder="1" applyAlignment="1">
      <alignment horizontal="center" vertical="center" wrapText="1"/>
    </xf>
    <xf numFmtId="0" fontId="8" fillId="14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49" fontId="4" fillId="0" borderId="8" xfId="0" applyNumberFormat="1" applyFont="1" applyBorder="1" applyAlignment="1">
      <alignment horizontal="center"/>
    </xf>
    <xf numFmtId="49" fontId="5" fillId="0" borderId="8" xfId="0" applyNumberFormat="1" applyFont="1" applyBorder="1" applyAlignment="1">
      <alignment horizontal="center"/>
    </xf>
    <xf numFmtId="49" fontId="5" fillId="0" borderId="9" xfId="0" applyNumberFormat="1" applyFont="1" applyBorder="1" applyAlignment="1">
      <alignment horizontal="center"/>
    </xf>
    <xf numFmtId="0" fontId="11" fillId="3" borderId="7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11" fillId="14" borderId="2" xfId="0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 vertical="center" wrapText="1"/>
    </xf>
    <xf numFmtId="0" fontId="11" fillId="14" borderId="4" xfId="0" applyFont="1" applyFill="1" applyBorder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" fontId="4" fillId="4" borderId="1" xfId="0" applyNumberFormat="1" applyFont="1" applyFill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0" fontId="12" fillId="0" borderId="0" xfId="0" applyFont="1"/>
    <xf numFmtId="1" fontId="12" fillId="0" borderId="0" xfId="0" applyNumberFormat="1" applyFont="1"/>
    <xf numFmtId="0" fontId="11" fillId="13" borderId="2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1" fillId="13" borderId="4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49" fontId="2" fillId="0" borderId="13" xfId="0" applyNumberFormat="1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" fontId="0" fillId="0" borderId="0" xfId="0" applyNumberFormat="1"/>
    <xf numFmtId="1" fontId="10" fillId="0" borderId="0" xfId="0" applyNumberFormat="1" applyFont="1"/>
    <xf numFmtId="0" fontId="13" fillId="0" borderId="0" xfId="0" applyFont="1"/>
    <xf numFmtId="1" fontId="13" fillId="0" borderId="0" xfId="0" applyNumberFormat="1" applyFont="1"/>
    <xf numFmtId="49" fontId="2" fillId="0" borderId="0" xfId="0" applyNumberFormat="1" applyFont="1"/>
    <xf numFmtId="49" fontId="5" fillId="2" borderId="1" xfId="0" applyNumberFormat="1" applyFont="1" applyFill="1" applyBorder="1" applyAlignment="1">
      <alignment horizontal="center"/>
    </xf>
    <xf numFmtId="49" fontId="2" fillId="0" borderId="14" xfId="0" applyNumberFormat="1" applyFont="1" applyBorder="1" applyAlignment="1">
      <alignment horizontal="center"/>
    </xf>
    <xf numFmtId="49" fontId="2" fillId="0" borderId="15" xfId="0" applyNumberFormat="1" applyFont="1" applyBorder="1" applyAlignment="1">
      <alignment horizontal="center"/>
    </xf>
    <xf numFmtId="49" fontId="2" fillId="0" borderId="16" xfId="0" applyNumberFormat="1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15" fillId="0" borderId="0" xfId="0" applyFont="1"/>
    <xf numFmtId="0" fontId="14" fillId="15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49" fontId="17" fillId="4" borderId="1" xfId="0" applyNumberFormat="1" applyFont="1" applyFill="1" applyBorder="1" applyAlignment="1">
      <alignment horizontal="center" vertical="center"/>
    </xf>
    <xf numFmtId="49" fontId="18" fillId="0" borderId="1" xfId="0" applyNumberFormat="1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9" fillId="0" borderId="1" xfId="0" applyFont="1" applyBorder="1" applyAlignment="1">
      <alignment horizontal="center" vertical="center"/>
    </xf>
    <xf numFmtId="0" fontId="20" fillId="8" borderId="2" xfId="0" applyFont="1" applyFill="1" applyBorder="1" applyAlignment="1">
      <alignment horizontal="center" vertical="center" wrapText="1"/>
    </xf>
    <xf numFmtId="0" fontId="20" fillId="8" borderId="3" xfId="0" applyFont="1" applyFill="1" applyBorder="1" applyAlignment="1">
      <alignment horizontal="center" vertical="center" wrapText="1"/>
    </xf>
    <xf numFmtId="0" fontId="20" fillId="8" borderId="4" xfId="0" applyFont="1" applyFill="1" applyBorder="1" applyAlignment="1">
      <alignment horizontal="center" vertical="center" wrapText="1"/>
    </xf>
    <xf numFmtId="0" fontId="21" fillId="8" borderId="2" xfId="0" applyFont="1" applyFill="1" applyBorder="1" applyAlignment="1">
      <alignment horizontal="center" vertical="center" wrapText="1"/>
    </xf>
    <xf numFmtId="0" fontId="21" fillId="8" borderId="3" xfId="0" applyFont="1" applyFill="1" applyBorder="1" applyAlignment="1">
      <alignment horizontal="center" vertical="center" wrapText="1"/>
    </xf>
    <xf numFmtId="0" fontId="21" fillId="8" borderId="4" xfId="0" applyFont="1" applyFill="1" applyBorder="1" applyAlignment="1">
      <alignment horizontal="center" vertical="center" wrapText="1"/>
    </xf>
    <xf numFmtId="0" fontId="20" fillId="9" borderId="2" xfId="0" applyFont="1" applyFill="1" applyBorder="1" applyAlignment="1">
      <alignment horizontal="center" vertical="center" wrapText="1"/>
    </xf>
    <xf numFmtId="0" fontId="20" fillId="9" borderId="3" xfId="0" applyFont="1" applyFill="1" applyBorder="1" applyAlignment="1">
      <alignment horizontal="center" vertical="center" wrapText="1"/>
    </xf>
    <xf numFmtId="0" fontId="20" fillId="9" borderId="4" xfId="0" applyFont="1" applyFill="1" applyBorder="1" applyAlignment="1">
      <alignment horizontal="center" vertical="center" wrapText="1"/>
    </xf>
    <xf numFmtId="0" fontId="22" fillId="0" borderId="0" xfId="0" applyFont="1"/>
    <xf numFmtId="49" fontId="17" fillId="4" borderId="2" xfId="0" applyNumberFormat="1" applyFont="1" applyFill="1" applyBorder="1" applyAlignment="1">
      <alignment horizontal="center" vertical="center"/>
    </xf>
    <xf numFmtId="0" fontId="22" fillId="0" borderId="4" xfId="0" applyFont="1" applyBorder="1" applyAlignment="1">
      <alignment vertical="center"/>
    </xf>
    <xf numFmtId="0" fontId="19" fillId="0" borderId="5" xfId="0" applyFont="1" applyBorder="1" applyAlignment="1">
      <alignment horizontal="center" vertical="center"/>
    </xf>
    <xf numFmtId="0" fontId="20" fillId="8" borderId="7" xfId="0" applyFont="1" applyFill="1" applyBorder="1" applyAlignment="1">
      <alignment horizontal="center" vertical="center" wrapText="1"/>
    </xf>
    <xf numFmtId="0" fontId="20" fillId="8" borderId="8" xfId="0" applyFont="1" applyFill="1" applyBorder="1" applyAlignment="1">
      <alignment horizontal="center" vertical="center" wrapText="1"/>
    </xf>
    <xf numFmtId="0" fontId="20" fillId="8" borderId="9" xfId="0" applyFont="1" applyFill="1" applyBorder="1" applyAlignment="1">
      <alignment horizontal="center" vertical="center" wrapText="1"/>
    </xf>
    <xf numFmtId="0" fontId="20" fillId="10" borderId="7" xfId="0" applyFont="1" applyFill="1" applyBorder="1" applyAlignment="1">
      <alignment horizontal="center" vertical="center" wrapText="1"/>
    </xf>
    <xf numFmtId="0" fontId="20" fillId="10" borderId="8" xfId="0" applyFont="1" applyFill="1" applyBorder="1" applyAlignment="1">
      <alignment horizontal="center" vertical="center" wrapText="1"/>
    </xf>
    <xf numFmtId="0" fontId="20" fillId="10" borderId="9" xfId="0" applyFont="1" applyFill="1" applyBorder="1" applyAlignment="1">
      <alignment horizontal="center" vertical="center" wrapText="1"/>
    </xf>
    <xf numFmtId="0" fontId="20" fillId="9" borderId="7" xfId="0" applyFont="1" applyFill="1" applyBorder="1" applyAlignment="1">
      <alignment horizontal="center" vertical="center" wrapText="1"/>
    </xf>
    <xf numFmtId="0" fontId="20" fillId="9" borderId="8" xfId="0" applyFont="1" applyFill="1" applyBorder="1" applyAlignment="1">
      <alignment horizontal="center" vertical="center" wrapText="1"/>
    </xf>
    <xf numFmtId="0" fontId="20" fillId="9" borderId="9" xfId="0" applyFont="1" applyFill="1" applyBorder="1" applyAlignment="1">
      <alignment horizontal="center" vertical="center" wrapText="1"/>
    </xf>
    <xf numFmtId="0" fontId="20" fillId="14" borderId="7" xfId="0" applyFont="1" applyFill="1" applyBorder="1" applyAlignment="1">
      <alignment horizontal="center" vertical="center" wrapText="1"/>
    </xf>
    <xf numFmtId="0" fontId="20" fillId="14" borderId="8" xfId="0" applyFont="1" applyFill="1" applyBorder="1" applyAlignment="1">
      <alignment horizontal="center" vertical="center" wrapText="1"/>
    </xf>
    <xf numFmtId="0" fontId="20" fillId="14" borderId="9" xfId="0" applyFont="1" applyFill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/>
    </xf>
    <xf numFmtId="0" fontId="20" fillId="8" borderId="17" xfId="0" applyFont="1" applyFill="1" applyBorder="1" applyAlignment="1">
      <alignment horizontal="center" vertical="center" wrapText="1"/>
    </xf>
    <xf numFmtId="0" fontId="20" fillId="8" borderId="18" xfId="0" applyFont="1" applyFill="1" applyBorder="1" applyAlignment="1">
      <alignment horizontal="center" vertical="center" wrapText="1"/>
    </xf>
    <xf numFmtId="0" fontId="20" fillId="8" borderId="19" xfId="0" applyFont="1" applyFill="1" applyBorder="1" applyAlignment="1">
      <alignment horizontal="center" vertical="center" wrapText="1"/>
    </xf>
    <xf numFmtId="0" fontId="20" fillId="10" borderId="17" xfId="0" applyFont="1" applyFill="1" applyBorder="1" applyAlignment="1">
      <alignment horizontal="center" vertical="center" wrapText="1"/>
    </xf>
    <xf numFmtId="0" fontId="20" fillId="10" borderId="18" xfId="0" applyFont="1" applyFill="1" applyBorder="1" applyAlignment="1">
      <alignment horizontal="center" vertical="center" wrapText="1"/>
    </xf>
    <xf numFmtId="0" fontId="20" fillId="10" borderId="19" xfId="0" applyFont="1" applyFill="1" applyBorder="1" applyAlignment="1">
      <alignment horizontal="center" vertical="center" wrapText="1"/>
    </xf>
    <xf numFmtId="0" fontId="20" fillId="9" borderId="17" xfId="0" applyFont="1" applyFill="1" applyBorder="1" applyAlignment="1">
      <alignment horizontal="center" vertical="center" wrapText="1"/>
    </xf>
    <xf numFmtId="0" fontId="20" fillId="9" borderId="18" xfId="0" applyFont="1" applyFill="1" applyBorder="1" applyAlignment="1">
      <alignment horizontal="center" vertical="center" wrapText="1"/>
    </xf>
    <xf numFmtId="0" fontId="20" fillId="9" borderId="19" xfId="0" applyFont="1" applyFill="1" applyBorder="1" applyAlignment="1">
      <alignment horizontal="center" vertical="center" wrapText="1"/>
    </xf>
    <xf numFmtId="0" fontId="20" fillId="14" borderId="17" xfId="0" applyFont="1" applyFill="1" applyBorder="1" applyAlignment="1">
      <alignment horizontal="center" vertical="center" wrapText="1"/>
    </xf>
    <xf numFmtId="0" fontId="20" fillId="14" borderId="18" xfId="0" applyFont="1" applyFill="1" applyBorder="1" applyAlignment="1">
      <alignment horizontal="center" vertical="center" wrapText="1"/>
    </xf>
    <xf numFmtId="0" fontId="20" fillId="14" borderId="19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vertical="center"/>
    </xf>
    <xf numFmtId="0" fontId="20" fillId="10" borderId="2" xfId="0" applyFont="1" applyFill="1" applyBorder="1" applyAlignment="1">
      <alignment horizontal="center" vertical="center" wrapText="1"/>
    </xf>
    <xf numFmtId="0" fontId="20" fillId="10" borderId="3" xfId="0" applyFont="1" applyFill="1" applyBorder="1" applyAlignment="1">
      <alignment horizontal="center" vertical="center" wrapText="1"/>
    </xf>
    <xf numFmtId="0" fontId="20" fillId="10" borderId="4" xfId="0" applyFont="1" applyFill="1" applyBorder="1" applyAlignment="1">
      <alignment horizontal="center" vertical="center" wrapText="1"/>
    </xf>
    <xf numFmtId="49" fontId="23" fillId="0" borderId="1" xfId="0" applyNumberFormat="1" applyFont="1" applyBorder="1" applyAlignment="1">
      <alignment horizontal="center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/>
    </xf>
    <xf numFmtId="49" fontId="2" fillId="0" borderId="20" xfId="0" applyNumberFormat="1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1" fillId="9" borderId="7" xfId="0" applyFont="1" applyFill="1" applyBorder="1" applyAlignment="1">
      <alignment horizontal="center" vertical="center" wrapText="1"/>
    </xf>
    <xf numFmtId="0" fontId="21" fillId="9" borderId="8" xfId="0" applyFont="1" applyFill="1" applyBorder="1" applyAlignment="1">
      <alignment horizontal="center" vertical="center" wrapText="1"/>
    </xf>
    <xf numFmtId="0" fontId="21" fillId="9" borderId="9" xfId="0" applyFont="1" applyFill="1" applyBorder="1" applyAlignment="1">
      <alignment horizontal="center" vertical="center" wrapText="1"/>
    </xf>
    <xf numFmtId="0" fontId="21" fillId="9" borderId="17" xfId="0" applyFont="1" applyFill="1" applyBorder="1" applyAlignment="1">
      <alignment horizontal="center" vertical="center" wrapText="1"/>
    </xf>
    <xf numFmtId="0" fontId="21" fillId="9" borderId="18" xfId="0" applyFont="1" applyFill="1" applyBorder="1" applyAlignment="1">
      <alignment horizontal="center" vertical="center" wrapText="1"/>
    </xf>
    <xf numFmtId="0" fontId="21" fillId="9" borderId="19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49" fontId="23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1" fontId="11" fillId="14" borderId="2" xfId="0" applyNumberFormat="1" applyFont="1" applyFill="1" applyBorder="1" applyAlignment="1">
      <alignment horizontal="center" vertical="center" wrapText="1"/>
    </xf>
    <xf numFmtId="1" fontId="11" fillId="14" borderId="3" xfId="0" applyNumberFormat="1" applyFont="1" applyFill="1" applyBorder="1" applyAlignment="1">
      <alignment horizontal="center" vertical="center" wrapText="1"/>
    </xf>
    <xf numFmtId="1" fontId="11" fillId="14" borderId="4" xfId="0" applyNumberFormat="1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49" fontId="5" fillId="0" borderId="21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49" fontId="24" fillId="0" borderId="0" xfId="0" applyNumberFormat="1" applyFont="1"/>
    <xf numFmtId="0" fontId="8" fillId="16" borderId="2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 wrapText="1"/>
    </xf>
    <xf numFmtId="0" fontId="8" fillId="16" borderId="4" xfId="0" applyFont="1" applyFill="1" applyBorder="1" applyAlignment="1">
      <alignment horizontal="center" vertical="center" wrapText="1"/>
    </xf>
    <xf numFmtId="0" fontId="8" fillId="17" borderId="2" xfId="0" applyFont="1" applyFill="1" applyBorder="1" applyAlignment="1">
      <alignment horizontal="center" vertical="center" wrapText="1"/>
    </xf>
    <xf numFmtId="0" fontId="8" fillId="17" borderId="3" xfId="0" applyFont="1" applyFill="1" applyBorder="1" applyAlignment="1">
      <alignment horizontal="center" vertical="center" wrapText="1"/>
    </xf>
    <xf numFmtId="0" fontId="8" fillId="17" borderId="4" xfId="0" applyFont="1" applyFill="1" applyBorder="1" applyAlignment="1">
      <alignment horizontal="center" vertical="center" wrapText="1"/>
    </xf>
    <xf numFmtId="0" fontId="8" fillId="18" borderId="2" xfId="0" applyFont="1" applyFill="1" applyBorder="1" applyAlignment="1">
      <alignment horizontal="center" vertical="center" wrapText="1"/>
    </xf>
    <xf numFmtId="0" fontId="8" fillId="18" borderId="3" xfId="0" applyFont="1" applyFill="1" applyBorder="1" applyAlignment="1">
      <alignment horizontal="center" vertical="center" wrapText="1"/>
    </xf>
    <xf numFmtId="0" fontId="8" fillId="18" borderId="4" xfId="0" applyFont="1" applyFill="1" applyBorder="1" applyAlignment="1">
      <alignment horizontal="center" vertical="center" wrapText="1"/>
    </xf>
    <xf numFmtId="1" fontId="5" fillId="0" borderId="25" xfId="0" applyNumberFormat="1" applyFont="1" applyBorder="1" applyAlignment="1">
      <alignment horizontal="center"/>
    </xf>
    <xf numFmtId="0" fontId="8" fillId="19" borderId="2" xfId="0" applyFont="1" applyFill="1" applyBorder="1" applyAlignment="1">
      <alignment horizontal="center" vertical="center" wrapText="1"/>
    </xf>
    <xf numFmtId="0" fontId="8" fillId="19" borderId="3" xfId="0" applyFont="1" applyFill="1" applyBorder="1" applyAlignment="1">
      <alignment horizontal="center" vertical="center" wrapText="1"/>
    </xf>
    <xf numFmtId="0" fontId="8" fillId="19" borderId="4" xfId="0" applyFont="1" applyFill="1" applyBorder="1" applyAlignment="1">
      <alignment horizontal="center" vertical="center" wrapText="1"/>
    </xf>
    <xf numFmtId="0" fontId="8" fillId="20" borderId="2" xfId="0" applyFont="1" applyFill="1" applyBorder="1" applyAlignment="1">
      <alignment horizontal="center" vertical="center" wrapText="1"/>
    </xf>
    <xf numFmtId="0" fontId="8" fillId="20" borderId="3" xfId="0" applyFont="1" applyFill="1" applyBorder="1" applyAlignment="1">
      <alignment horizontal="center" vertical="center" wrapText="1"/>
    </xf>
    <xf numFmtId="0" fontId="8" fillId="20" borderId="4" xfId="0" applyFont="1" applyFill="1" applyBorder="1" applyAlignment="1">
      <alignment horizontal="center" vertical="center" wrapText="1"/>
    </xf>
    <xf numFmtId="1" fontId="5" fillId="0" borderId="8" xfId="0" applyNumberFormat="1" applyFont="1" applyBorder="1" applyAlignment="1">
      <alignment horizontal="center"/>
    </xf>
    <xf numFmtId="1" fontId="4" fillId="3" borderId="1" xfId="0" applyNumberFormat="1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25" fillId="0" borderId="0" xfId="0" applyFont="1" applyAlignment="1">
      <alignment vertical="center"/>
    </xf>
    <xf numFmtId="49" fontId="25" fillId="0" borderId="0" xfId="0" applyNumberFormat="1" applyFont="1" applyAlignment="1">
      <alignment vertical="center"/>
    </xf>
    <xf numFmtId="0" fontId="25" fillId="0" borderId="0" xfId="0" applyFont="1" applyAlignment="1">
      <alignment vertical="center" wrapText="1"/>
    </xf>
    <xf numFmtId="0" fontId="26" fillId="0" borderId="0" xfId="0" applyFont="1" applyAlignment="1">
      <alignment vertical="center"/>
    </xf>
    <xf numFmtId="0" fontId="27" fillId="0" borderId="7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8" fillId="0" borderId="26" xfId="0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0" fontId="28" fillId="0" borderId="28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8" fillId="0" borderId="29" xfId="0" applyFont="1" applyBorder="1" applyAlignment="1">
      <alignment horizontal="center" vertical="center" wrapText="1"/>
    </xf>
    <xf numFmtId="49" fontId="28" fillId="0" borderId="29" xfId="0" applyNumberFormat="1" applyFont="1" applyBorder="1" applyAlignment="1">
      <alignment horizontal="center" vertical="center" wrapText="1"/>
    </xf>
    <xf numFmtId="0" fontId="28" fillId="0" borderId="29" xfId="0" applyFont="1" applyBorder="1" applyAlignment="1">
      <alignment horizontal="right" vertical="center" wrapText="1"/>
    </xf>
    <xf numFmtId="0" fontId="28" fillId="0" borderId="29" xfId="0" applyFont="1" applyBorder="1" applyAlignment="1">
      <alignment vertical="center" textRotation="90" wrapText="1"/>
    </xf>
    <xf numFmtId="0" fontId="28" fillId="0" borderId="29" xfId="0" applyFont="1" applyBorder="1" applyAlignment="1">
      <alignment horizontal="center" vertical="center" textRotation="90" wrapText="1"/>
    </xf>
    <xf numFmtId="0" fontId="29" fillId="0" borderId="29" xfId="0" applyFont="1" applyBorder="1" applyAlignment="1">
      <alignment horizontal="center" vertical="center" wrapText="1"/>
    </xf>
    <xf numFmtId="0" fontId="25" fillId="0" borderId="29" xfId="0" applyFont="1" applyBorder="1" applyAlignment="1">
      <alignment vertical="center"/>
    </xf>
    <xf numFmtId="0" fontId="25" fillId="0" borderId="29" xfId="0" applyFont="1" applyBorder="1" applyAlignment="1">
      <alignment vertical="center" wrapText="1"/>
    </xf>
    <xf numFmtId="49" fontId="25" fillId="0" borderId="29" xfId="0" applyNumberFormat="1" applyFont="1" applyBorder="1" applyAlignment="1">
      <alignment vertical="center" wrapText="1"/>
    </xf>
    <xf numFmtId="0" fontId="26" fillId="0" borderId="29" xfId="0" applyFont="1" applyBorder="1" applyAlignment="1">
      <alignment vertical="center"/>
    </xf>
    <xf numFmtId="0" fontId="30" fillId="0" borderId="29" xfId="0" applyFont="1" applyBorder="1" applyAlignment="1">
      <alignment vertical="center" wrapText="1"/>
    </xf>
    <xf numFmtId="49" fontId="30" fillId="0" borderId="29" xfId="0" applyNumberFormat="1" applyFont="1" applyBorder="1" applyAlignment="1">
      <alignment vertical="center" wrapText="1"/>
    </xf>
    <xf numFmtId="0" fontId="30" fillId="2" borderId="29" xfId="0" applyFont="1" applyFill="1" applyBorder="1" applyAlignment="1">
      <alignment vertical="center"/>
    </xf>
    <xf numFmtId="0" fontId="30" fillId="0" borderId="29" xfId="0" applyFont="1" applyBorder="1" applyAlignment="1">
      <alignment horizontal="right" vertical="center"/>
    </xf>
    <xf numFmtId="0" fontId="30" fillId="0" borderId="29" xfId="0" applyFont="1" applyBorder="1" applyAlignment="1">
      <alignment vertical="center"/>
    </xf>
    <xf numFmtId="0" fontId="25" fillId="0" borderId="29" xfId="0" applyFont="1" applyBorder="1" applyAlignment="1">
      <alignment horizontal="left" vertical="center"/>
    </xf>
    <xf numFmtId="0" fontId="25" fillId="2" borderId="29" xfId="0" applyFont="1" applyFill="1" applyBorder="1" applyAlignment="1">
      <alignment vertical="center"/>
    </xf>
    <xf numFmtId="0" fontId="30" fillId="2" borderId="29" xfId="0" applyFont="1" applyFill="1" applyBorder="1" applyAlignment="1">
      <alignment vertical="center" wrapText="1"/>
    </xf>
    <xf numFmtId="0" fontId="30" fillId="0" borderId="29" xfId="0" applyFont="1" applyBorder="1" applyAlignment="1">
      <alignment horizontal="right" vertical="center" wrapText="1"/>
    </xf>
    <xf numFmtId="0" fontId="26" fillId="0" borderId="29" xfId="0" applyFont="1" applyBorder="1" applyAlignment="1">
      <alignment vertical="center" wrapText="1"/>
    </xf>
    <xf numFmtId="49" fontId="26" fillId="0" borderId="29" xfId="0" applyNumberFormat="1" applyFont="1" applyBorder="1" applyAlignment="1">
      <alignment vertical="center" wrapText="1"/>
    </xf>
    <xf numFmtId="49" fontId="26" fillId="0" borderId="29" xfId="0" applyNumberFormat="1" applyFont="1" applyBorder="1" applyAlignment="1">
      <alignment vertical="center"/>
    </xf>
    <xf numFmtId="49" fontId="30" fillId="0" borderId="29" xfId="0" applyNumberFormat="1" applyFont="1" applyBorder="1" applyAlignment="1">
      <alignment vertical="center"/>
    </xf>
    <xf numFmtId="49" fontId="25" fillId="2" borderId="29" xfId="0" applyNumberFormat="1" applyFont="1" applyFill="1" applyBorder="1" applyAlignment="1">
      <alignment vertical="center"/>
    </xf>
    <xf numFmtId="0" fontId="25" fillId="2" borderId="29" xfId="0" applyFont="1" applyFill="1" applyBorder="1" applyAlignment="1">
      <alignment vertical="center" wrapText="1"/>
    </xf>
    <xf numFmtId="0" fontId="26" fillId="0" borderId="29" xfId="0" applyFont="1" applyBorder="1" applyAlignment="1">
      <alignment horizontal="right" vertical="center"/>
    </xf>
    <xf numFmtId="0" fontId="25" fillId="0" borderId="29" xfId="0" applyFont="1" applyBorder="1" applyAlignment="1">
      <alignment horizontal="left" vertical="center" wrapText="1"/>
    </xf>
    <xf numFmtId="0" fontId="26" fillId="0" borderId="29" xfId="0" applyFont="1" applyBorder="1" applyAlignment="1">
      <alignment horizontal="left" vertical="center" wrapText="1"/>
    </xf>
    <xf numFmtId="0" fontId="26" fillId="2" borderId="29" xfId="0" applyFont="1" applyFill="1" applyBorder="1" applyAlignment="1">
      <alignment vertical="center"/>
    </xf>
    <xf numFmtId="49" fontId="25" fillId="0" borderId="29" xfId="0" applyNumberFormat="1" applyFont="1" applyBorder="1" applyAlignment="1">
      <alignment vertical="center"/>
    </xf>
    <xf numFmtId="0" fontId="31" fillId="0" borderId="29" xfId="0" applyFont="1" applyBorder="1" applyAlignment="1">
      <alignment vertical="center" wrapText="1"/>
    </xf>
    <xf numFmtId="0" fontId="25" fillId="2" borderId="29" xfId="0" applyFont="1" applyFill="1" applyBorder="1" applyAlignment="1">
      <alignment horizontal="left" vertical="center" wrapText="1"/>
    </xf>
    <xf numFmtId="49" fontId="25" fillId="2" borderId="29" xfId="0" applyNumberFormat="1" applyFont="1" applyFill="1" applyBorder="1" applyAlignment="1">
      <alignment vertical="center" wrapText="1"/>
    </xf>
    <xf numFmtId="0" fontId="26" fillId="2" borderId="29" xfId="0" applyFont="1" applyFill="1" applyBorder="1" applyAlignment="1">
      <alignment vertical="center" wrapText="1"/>
    </xf>
    <xf numFmtId="0" fontId="32" fillId="2" borderId="29" xfId="0" applyFont="1" applyFill="1" applyBorder="1" applyAlignment="1">
      <alignment vertical="center" wrapText="1"/>
    </xf>
    <xf numFmtId="0" fontId="26" fillId="2" borderId="29" xfId="0" applyFont="1" applyFill="1" applyBorder="1" applyAlignment="1">
      <alignment horizontal="left" vertical="center" wrapText="1"/>
    </xf>
    <xf numFmtId="0" fontId="26" fillId="0" borderId="29" xfId="0" applyFont="1" applyBorder="1" applyAlignment="1">
      <alignment horizontal="left" vertical="center"/>
    </xf>
    <xf numFmtId="49" fontId="25" fillId="0" borderId="13" xfId="0" applyNumberFormat="1" applyFont="1" applyBorder="1" applyAlignment="1">
      <alignment vertical="center" wrapText="1"/>
    </xf>
    <xf numFmtId="0" fontId="25" fillId="0" borderId="29" xfId="0" applyFont="1" applyBorder="1" applyAlignment="1" quotePrefix="1">
      <alignment vertical="center" wrapText="1"/>
    </xf>
    <xf numFmtId="0" fontId="25" fillId="2" borderId="29" xfId="0" applyFont="1" applyFill="1" applyBorder="1" applyAlignment="1" quotePrefix="1">
      <alignment vertical="center" wrapText="1"/>
    </xf>
    <xf numFmtId="49" fontId="5" fillId="0" borderId="1" xfId="0" applyNumberFormat="1" applyFont="1" applyBorder="1" applyAlignment="1" quotePrefix="1">
      <alignment horizontal="center"/>
    </xf>
  </cellXfs>
  <cellStyles count="48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Note" xfId="6" builtinId="10"/>
    <cellStyle name="Warning Text" xfId="7" builtinId="11"/>
    <cellStyle name="Title" xfId="8" builtinId="15"/>
    <cellStyle name="Explanatory Text" xfId="9" builtinId="53"/>
    <cellStyle name="Heading 1" xfId="10" builtinId="16"/>
    <cellStyle name="Heading 2" xfId="11" builtinId="17"/>
    <cellStyle name="Heading 3" xfId="12" builtinId="18"/>
    <cellStyle name="Heading 4" xfId="13" builtinId="19"/>
    <cellStyle name="Input" xfId="14" builtinId="20"/>
    <cellStyle name="Output" xfId="15" builtinId="21"/>
    <cellStyle name="Calculation" xfId="16" builtinId="22"/>
    <cellStyle name="Check Cell" xfId="17" builtinId="23"/>
    <cellStyle name="Linked Cell" xfId="18" builtinId="24"/>
    <cellStyle name="Total" xfId="19" builtinId="25"/>
    <cellStyle name="Good" xfId="20" builtinId="26"/>
    <cellStyle name="Bad" xfId="21" builtinId="27"/>
    <cellStyle name="Neutral" xfId="22" builtinId="28"/>
    <cellStyle name="Accent1" xfId="23" builtinId="29"/>
    <cellStyle name="20% - Accent1" xfId="24" builtinId="30"/>
    <cellStyle name="40% - Accent1" xfId="25" builtinId="31"/>
    <cellStyle name="60% - Accent1" xfId="26" builtinId="32"/>
    <cellStyle name="Accent2" xfId="27" builtinId="33"/>
    <cellStyle name="20% - Accent2" xfId="28" builtinId="34"/>
    <cellStyle name="40% - Accent2" xfId="29" builtinId="35"/>
    <cellStyle name="60% - Accent2" xfId="30" builtinId="36"/>
    <cellStyle name="Accent3" xfId="31" builtinId="37"/>
    <cellStyle name="20% - Accent3" xfId="32" builtinId="38"/>
    <cellStyle name="40% - Accent3" xfId="33" builtinId="39"/>
    <cellStyle name="60% - Accent3" xfId="34" builtinId="40"/>
    <cellStyle name="Accent4" xfId="35" builtinId="41"/>
    <cellStyle name="20% - Accent4" xfId="36" builtinId="42"/>
    <cellStyle name="40% - Accent4" xfId="37" builtinId="43"/>
    <cellStyle name="60% - Accent4" xfId="38" builtinId="44"/>
    <cellStyle name="Accent5" xfId="39" builtinId="45"/>
    <cellStyle name="20% - Accent5" xfId="40" builtinId="46"/>
    <cellStyle name="40% - Accent5" xfId="41" builtinId="47"/>
    <cellStyle name="60% - Accent5" xfId="42" builtinId="48"/>
    <cellStyle name="Accent6" xfId="43" builtinId="49"/>
    <cellStyle name="20% - Accent6" xfId="44" builtinId="50"/>
    <cellStyle name="40% - Accent6" xfId="45" builtinId="51"/>
    <cellStyle name="60% - Accent6" xfId="46" builtinId="52"/>
    <cellStyle name="Normal 2" xfId="47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customXml" Target="../customXml/item3.xml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amirandac_uandes_cl\Documents\Direcci&#243;n%20de%20Curr&#237;culo\Notas%20Curriculum\2021\Ajuste%20PE%202016%20OOCC\Malla%20IOC%20ajustad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amirandac_uandes_cl\Documents\Direcci&#243;n%20de%20Curr&#237;culo\Notas%20Curriculum\2021\Ajuste%20PE%202016%20Computaci&#243;n\malla%20curricular%20icc%20ajustada%20DPS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ursos"/>
      <sheetName val="Malla base"/>
      <sheetName val="ICI Malla"/>
      <sheetName val="ICI Lic"/>
      <sheetName val="ICI Tit"/>
      <sheetName val="IOC Malla"/>
      <sheetName val="IOC Lic"/>
      <sheetName val="IOC Tit"/>
      <sheetName val="ICE Malla"/>
      <sheetName val="ICE Lic"/>
      <sheetName val="ICE Tit"/>
      <sheetName val="ICC Malla"/>
      <sheetName val="ICC Lic"/>
      <sheetName val="ICC Tit"/>
      <sheetName val="ICA Malla"/>
      <sheetName val="ICA Lic"/>
      <sheetName val="ICA Tit"/>
    </sheetNames>
    <sheetDataSet>
      <sheetData sheetId="0"/>
      <sheetData sheetId="1">
        <row r="6">
          <cell r="D6" t="str">
            <v>Ea</v>
          </cell>
        </row>
        <row r="6">
          <cell r="P6" t="str">
            <v>Eb</v>
          </cell>
        </row>
        <row r="8">
          <cell r="L8" t="str">
            <v>Eb</v>
          </cell>
        </row>
        <row r="8">
          <cell r="P8" t="str">
            <v>Eb</v>
          </cell>
        </row>
        <row r="10">
          <cell r="H10" t="str">
            <v>Ea</v>
          </cell>
        </row>
        <row r="10">
          <cell r="L10" t="str">
            <v>Ia</v>
          </cell>
        </row>
        <row r="14">
          <cell r="AO14" t="str">
            <v>Ec,Ia</v>
          </cell>
        </row>
        <row r="18">
          <cell r="Z18" t="str">
            <v>Ic(Ea)</v>
          </cell>
        </row>
        <row r="18">
          <cell r="AQ18" t="str">
            <v>Ic(Eb, Ob)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ursos"/>
      <sheetName val="Malla base"/>
      <sheetName val="ICI Malla"/>
      <sheetName val="ICI Lic"/>
      <sheetName val="ICI Tit"/>
      <sheetName val="IOC Malla"/>
      <sheetName val="IOC Lic"/>
      <sheetName val="IOC Tit"/>
      <sheetName val="ICE Malla"/>
      <sheetName val="ICE Lic"/>
      <sheetName val="ICE Tit"/>
      <sheetName val="ICC Malla"/>
      <sheetName val="ICC Lic"/>
      <sheetName val="ICA Malla"/>
      <sheetName val="ICA Lic"/>
      <sheetName val="ICA Tit"/>
      <sheetName val="BIC+Base"/>
    </sheetNames>
    <sheetDataSet>
      <sheetData sheetId="0" refreshError="1"/>
      <sheetData sheetId="1" refreshError="1">
        <row r="6">
          <cell r="D6" t="str">
            <v>Ea</v>
          </cell>
        </row>
        <row r="6">
          <cell r="P6" t="str">
            <v>Eb</v>
          </cell>
        </row>
        <row r="8">
          <cell r="L8" t="str">
            <v>Eb</v>
          </cell>
        </row>
        <row r="8">
          <cell r="P8" t="str">
            <v>Eb</v>
          </cell>
        </row>
        <row r="10">
          <cell r="H10" t="str">
            <v>Ea</v>
          </cell>
        </row>
        <row r="10">
          <cell r="L10" t="str">
            <v>Ia</v>
          </cell>
        </row>
        <row r="14">
          <cell r="AO14" t="str">
            <v>Ec,Ia</v>
          </cell>
        </row>
        <row r="18">
          <cell r="Z18" t="str">
            <v>Ic(Ea)</v>
          </cell>
        </row>
        <row r="18">
          <cell r="AQ18" t="str">
            <v>Ic(Eb, Ob)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46"/>
  <sheetViews>
    <sheetView tabSelected="1" zoomScale="80" zoomScaleNormal="80" workbookViewId="0">
      <pane xSplit="4" topLeftCell="E1" activePane="topRight" state="frozen"/>
      <selection/>
      <selection pane="topRight" activeCell="D155" sqref="D155"/>
    </sheetView>
  </sheetViews>
  <sheetFormatPr defaultColWidth="10.5714285714286" defaultRowHeight="15"/>
  <cols>
    <col min="1" max="1" width="15.5714285714286" style="214" customWidth="1"/>
    <col min="2" max="2" width="9.42857142857143" style="214" customWidth="1"/>
    <col min="3" max="3" width="9.42857142857143" style="215" customWidth="1"/>
    <col min="4" max="4" width="51.4285714285714" style="216" customWidth="1"/>
    <col min="5" max="5" width="4" style="214" customWidth="1"/>
    <col min="6" max="8" width="4.42857142857143" style="214" customWidth="1"/>
    <col min="9" max="9" width="6.42857142857143" style="214" customWidth="1"/>
    <col min="10" max="10" width="4.85714285714286" style="214" customWidth="1"/>
    <col min="11" max="12" width="5.42857142857143" style="214" customWidth="1"/>
    <col min="13" max="13" width="7.28571428571429" style="214" customWidth="1"/>
    <col min="14" max="14" width="5.57142857142857" style="214" customWidth="1"/>
    <col min="15" max="15" width="5.42857142857143" style="214" customWidth="1"/>
    <col min="16" max="16" width="5.57142857142857" style="214" customWidth="1"/>
    <col min="17" max="17" width="4.85714285714286" style="214" customWidth="1"/>
    <col min="18" max="18" width="6" style="214" customWidth="1"/>
    <col min="19" max="19" width="5.57142857142857" style="214" customWidth="1"/>
    <col min="20" max="20" width="4.42857142857143" style="214" customWidth="1"/>
    <col min="21" max="21" width="59.1428571428571" style="214" customWidth="1"/>
    <col min="22" max="22" width="11" style="214" customWidth="1"/>
    <col min="23" max="24" width="8.57142857142857" style="214" customWidth="1"/>
    <col min="25" max="25" width="56.8571428571429" style="214" customWidth="1"/>
    <col min="26" max="26" width="51.1428571428571" style="217" hidden="1" customWidth="1"/>
    <col min="27" max="27" width="49.4285714285714" style="214" hidden="1" customWidth="1"/>
    <col min="28" max="28" width="26.5714285714286" style="214" hidden="1" customWidth="1"/>
    <col min="29" max="29" width="18" style="214" hidden="1" customWidth="1"/>
  </cols>
  <sheetData>
    <row r="1" s="214" customFormat="1" customHeight="1" spans="1:29">
      <c r="B1" s="215"/>
      <c r="E1" s="218" t="s">
        <v>0</v>
      </c>
      <c r="F1" s="219"/>
      <c r="G1" s="219"/>
      <c r="H1" s="219"/>
      <c r="I1" s="219"/>
      <c r="J1" s="220"/>
      <c r="L1" s="221" t="s">
        <v>1</v>
      </c>
      <c r="M1" s="222"/>
      <c r="N1" s="222"/>
      <c r="O1" s="222"/>
      <c r="P1" s="222"/>
      <c r="Q1" s="222"/>
      <c r="R1" s="223"/>
      <c r="S1" s="224">
        <v>18</v>
      </c>
      <c r="T1" s="225">
        <v>30</v>
      </c>
      <c r="W1" s="214">
        <f>SUM(W3:W143)</f>
        <v>0</v>
      </c>
      <c r="X1" s="217"/>
      <c r="Y1" s="217"/>
    </row>
    <row r="2" ht="135.8" spans="1:29">
      <c r="A2" s="226" t="s">
        <v>2</v>
      </c>
      <c r="B2" s="226" t="s">
        <v>3</v>
      </c>
      <c r="C2" s="227" t="s">
        <v>4</v>
      </c>
      <c r="D2" s="228" t="s">
        <v>5</v>
      </c>
      <c r="E2" s="229" t="s">
        <v>6</v>
      </c>
      <c r="F2" s="229" t="s">
        <v>7</v>
      </c>
      <c r="G2" s="229" t="s">
        <v>8</v>
      </c>
      <c r="H2" s="229" t="s">
        <v>9</v>
      </c>
      <c r="I2" s="229" t="s">
        <v>10</v>
      </c>
      <c r="J2" s="229" t="s">
        <v>11</v>
      </c>
      <c r="K2" s="229" t="s">
        <v>12</v>
      </c>
      <c r="L2" s="229" t="s">
        <v>13</v>
      </c>
      <c r="M2" s="229" t="s">
        <v>14</v>
      </c>
      <c r="N2" s="229" t="s">
        <v>15</v>
      </c>
      <c r="O2" s="229" t="s">
        <v>16</v>
      </c>
      <c r="P2" s="229" t="s">
        <v>17</v>
      </c>
      <c r="Q2" s="229" t="s">
        <v>18</v>
      </c>
      <c r="R2" s="229" t="s">
        <v>19</v>
      </c>
      <c r="S2" s="229" t="s">
        <v>1</v>
      </c>
      <c r="T2" s="229" t="s">
        <v>20</v>
      </c>
      <c r="U2" s="226" t="s">
        <v>21</v>
      </c>
      <c r="V2" s="230" t="s">
        <v>22</v>
      </c>
      <c r="W2" s="229" t="s">
        <v>23</v>
      </c>
      <c r="X2" s="229" t="s">
        <v>24</v>
      </c>
      <c r="Y2" s="231" t="s">
        <v>25</v>
      </c>
      <c r="Z2" s="231" t="s">
        <v>26</v>
      </c>
      <c r="AA2" s="226" t="s">
        <v>27</v>
      </c>
      <c r="AB2" s="214" t="s">
        <v>28</v>
      </c>
      <c r="AC2" s="214" t="s">
        <v>29</v>
      </c>
    </row>
    <row r="3" spans="1:29">
      <c r="A3" s="232" t="s">
        <v>30</v>
      </c>
      <c r="B3" s="233" t="s">
        <v>31</v>
      </c>
      <c r="C3" s="234">
        <v>6100</v>
      </c>
      <c r="D3" s="233" t="s">
        <v>32</v>
      </c>
      <c r="E3" s="232">
        <v>0</v>
      </c>
      <c r="F3" s="232">
        <v>0</v>
      </c>
      <c r="G3" s="232">
        <v>0</v>
      </c>
      <c r="H3" s="232">
        <v>0</v>
      </c>
      <c r="I3" s="232">
        <v>0</v>
      </c>
      <c r="J3" s="232">
        <v>0</v>
      </c>
      <c r="K3" s="232"/>
      <c r="L3" s="232"/>
      <c r="M3" s="232"/>
      <c r="N3" s="232"/>
      <c r="O3" s="232"/>
      <c r="P3" s="232"/>
      <c r="Q3" s="232"/>
      <c r="R3" s="232"/>
      <c r="S3" s="232"/>
      <c r="T3" s="232">
        <f>ROUND(S3*S$1/T$1,0)</f>
        <v>0</v>
      </c>
      <c r="U3" s="232"/>
      <c r="V3" s="232"/>
      <c r="W3" s="232"/>
      <c r="X3" s="232"/>
      <c r="Y3" s="232"/>
      <c r="Z3" s="235"/>
      <c r="AA3" s="232" t="s">
        <v>33</v>
      </c>
      <c r="AB3" s="214">
        <v>0</v>
      </c>
      <c r="AC3" s="214" t="s">
        <v>34</v>
      </c>
    </row>
    <row r="4" spans="1:29">
      <c r="A4" s="232" t="s">
        <v>35</v>
      </c>
      <c r="B4" s="236" t="s">
        <v>31</v>
      </c>
      <c r="C4" s="237" t="s">
        <v>36</v>
      </c>
      <c r="D4" s="238" t="s">
        <v>37</v>
      </c>
      <c r="E4" s="232">
        <v>1</v>
      </c>
      <c r="F4" s="232">
        <v>1</v>
      </c>
      <c r="G4" s="232">
        <v>1</v>
      </c>
      <c r="H4" s="232">
        <v>1</v>
      </c>
      <c r="I4" s="232">
        <v>1</v>
      </c>
      <c r="J4" s="232">
        <v>1</v>
      </c>
      <c r="K4" s="232"/>
      <c r="L4" s="239">
        <v>8</v>
      </c>
      <c r="M4" s="239">
        <v>4</v>
      </c>
      <c r="N4" s="239"/>
      <c r="O4" s="240"/>
      <c r="P4" s="240"/>
      <c r="Q4" s="240"/>
      <c r="R4" s="239">
        <v>5</v>
      </c>
      <c r="S4" s="232">
        <f t="shared" ref="S4:S53" si="0">SUM(L4:R4)</f>
        <v>17</v>
      </c>
      <c r="T4" s="232">
        <f>ROUND(S4*S$1/T$1,0)</f>
        <v>10</v>
      </c>
      <c r="U4" s="232"/>
      <c r="V4" s="241"/>
      <c r="W4" s="232" t="s">
        <v>38</v>
      </c>
      <c r="X4" s="232" t="s">
        <v>38</v>
      </c>
      <c r="Y4" s="232"/>
      <c r="Z4" s="235" t="s">
        <v>39</v>
      </c>
      <c r="AA4" s="232" t="s">
        <v>40</v>
      </c>
      <c r="AB4" s="214" t="s">
        <v>41</v>
      </c>
      <c r="AC4" s="214" t="s">
        <v>42</v>
      </c>
    </row>
    <row r="5" spans="1:29">
      <c r="A5" s="232" t="s">
        <v>43</v>
      </c>
      <c r="B5" s="233" t="s">
        <v>31</v>
      </c>
      <c r="C5" s="234">
        <v>1106</v>
      </c>
      <c r="D5" s="242" t="s">
        <v>44</v>
      </c>
      <c r="E5" s="232">
        <v>1</v>
      </c>
      <c r="F5" s="232">
        <v>1</v>
      </c>
      <c r="G5" s="232">
        <v>1</v>
      </c>
      <c r="H5" s="232">
        <v>1</v>
      </c>
      <c r="I5" s="232">
        <v>1</v>
      </c>
      <c r="J5" s="232">
        <v>1</v>
      </c>
      <c r="K5" s="232"/>
      <c r="L5" s="232">
        <v>2</v>
      </c>
      <c r="M5" s="232"/>
      <c r="N5" s="232"/>
      <c r="O5" s="232"/>
      <c r="P5" s="232"/>
      <c r="Q5" s="232">
        <v>2</v>
      </c>
      <c r="R5" s="232">
        <v>1</v>
      </c>
      <c r="S5" s="232">
        <f t="shared" si="0"/>
        <v>5</v>
      </c>
      <c r="T5" s="232">
        <f>ROUND(S5*S$1/T$1,0)</f>
        <v>3</v>
      </c>
      <c r="U5" s="232"/>
      <c r="V5" s="232"/>
      <c r="W5" s="232" t="s">
        <v>38</v>
      </c>
      <c r="X5" s="232" t="s">
        <v>38</v>
      </c>
      <c r="Y5" s="232"/>
      <c r="Z5" s="235" t="s">
        <v>45</v>
      </c>
      <c r="AA5" s="232" t="s">
        <v>46</v>
      </c>
      <c r="AB5" s="214" t="s">
        <v>41</v>
      </c>
      <c r="AC5" s="214" t="s">
        <v>42</v>
      </c>
    </row>
    <row r="6" spans="1:29">
      <c r="A6" s="232" t="s">
        <v>47</v>
      </c>
      <c r="B6" s="236" t="s">
        <v>31</v>
      </c>
      <c r="C6" s="237" t="s">
        <v>48</v>
      </c>
      <c r="D6" s="243" t="s">
        <v>49</v>
      </c>
      <c r="E6" s="232">
        <v>1</v>
      </c>
      <c r="F6" s="232">
        <v>1</v>
      </c>
      <c r="G6" s="232">
        <v>1</v>
      </c>
      <c r="H6" s="232">
        <v>1</v>
      </c>
      <c r="I6" s="232">
        <v>1</v>
      </c>
      <c r="J6" s="232">
        <v>1</v>
      </c>
      <c r="K6" s="232"/>
      <c r="L6" s="244">
        <v>10</v>
      </c>
      <c r="M6" s="244"/>
      <c r="N6" s="236"/>
      <c r="O6" s="236"/>
      <c r="P6" s="236"/>
      <c r="Q6" s="236"/>
      <c r="R6" s="244">
        <v>10</v>
      </c>
      <c r="S6" s="232">
        <f t="shared" si="0"/>
        <v>20</v>
      </c>
      <c r="T6" s="232" t="e">
        <f>ROUND(S6/#REF!,0)</f>
        <v>#REF!</v>
      </c>
      <c r="U6" s="232"/>
      <c r="V6" s="241"/>
      <c r="W6" s="232" t="s">
        <v>38</v>
      </c>
      <c r="X6" s="232"/>
      <c r="Y6" s="232"/>
      <c r="Z6" s="235" t="s">
        <v>50</v>
      </c>
      <c r="AA6" s="232" t="s">
        <v>33</v>
      </c>
      <c r="AB6" s="214" t="s">
        <v>41</v>
      </c>
      <c r="AC6" s="214" t="s">
        <v>42</v>
      </c>
    </row>
    <row r="7" spans="1:29">
      <c r="A7" s="232" t="s">
        <v>51</v>
      </c>
      <c r="B7" s="245" t="s">
        <v>31</v>
      </c>
      <c r="C7" s="246">
        <v>1102</v>
      </c>
      <c r="D7" s="240" t="s">
        <v>52</v>
      </c>
      <c r="E7" s="232">
        <v>1</v>
      </c>
      <c r="F7" s="232">
        <v>1</v>
      </c>
      <c r="G7" s="232">
        <v>1</v>
      </c>
      <c r="H7" s="232">
        <v>1</v>
      </c>
      <c r="I7" s="232">
        <v>1</v>
      </c>
      <c r="J7" s="232">
        <v>1</v>
      </c>
      <c r="K7" s="232"/>
      <c r="L7" s="239">
        <v>3</v>
      </c>
      <c r="M7" s="239">
        <v>2</v>
      </c>
      <c r="N7" s="239">
        <v>2</v>
      </c>
      <c r="O7" s="240"/>
      <c r="P7" s="240"/>
      <c r="Q7" s="240"/>
      <c r="R7" s="239">
        <v>2</v>
      </c>
      <c r="S7" s="232">
        <f t="shared" si="0"/>
        <v>9</v>
      </c>
      <c r="T7" s="232">
        <f t="shared" ref="T7:T53" si="1">ROUND(S7*S$1/T$1,0)</f>
        <v>5</v>
      </c>
      <c r="U7" s="232"/>
      <c r="V7" s="241" t="s">
        <v>53</v>
      </c>
      <c r="W7" s="232" t="s">
        <v>38</v>
      </c>
      <c r="X7" s="232" t="s">
        <v>38</v>
      </c>
      <c r="Y7" s="232"/>
      <c r="Z7" s="235" t="s">
        <v>54</v>
      </c>
      <c r="AA7" s="232" t="s">
        <v>54</v>
      </c>
      <c r="AB7" s="214">
        <v>5</v>
      </c>
      <c r="AC7" s="214" t="s">
        <v>34</v>
      </c>
    </row>
    <row r="8" spans="1:29">
      <c r="A8" s="232" t="s">
        <v>55</v>
      </c>
      <c r="B8" s="233" t="s">
        <v>31</v>
      </c>
      <c r="C8" s="234">
        <v>1103</v>
      </c>
      <c r="D8" s="240" t="s">
        <v>56</v>
      </c>
      <c r="E8" s="232">
        <v>1</v>
      </c>
      <c r="F8" s="232">
        <v>1</v>
      </c>
      <c r="G8" s="232">
        <v>1</v>
      </c>
      <c r="H8" s="232">
        <v>1</v>
      </c>
      <c r="I8" s="232">
        <v>1</v>
      </c>
      <c r="J8" s="232">
        <v>1</v>
      </c>
      <c r="K8" s="232"/>
      <c r="L8" s="239">
        <v>2</v>
      </c>
      <c r="M8" s="240"/>
      <c r="N8" s="239">
        <v>4</v>
      </c>
      <c r="O8" s="240"/>
      <c r="P8" s="240"/>
      <c r="Q8" s="240"/>
      <c r="R8" s="239">
        <v>3</v>
      </c>
      <c r="S8" s="232">
        <f t="shared" si="0"/>
        <v>9</v>
      </c>
      <c r="T8" s="232">
        <f t="shared" si="1"/>
        <v>5</v>
      </c>
      <c r="U8" s="232"/>
      <c r="V8" s="241"/>
      <c r="W8" s="232" t="s">
        <v>38</v>
      </c>
      <c r="X8" s="232" t="s">
        <v>38</v>
      </c>
      <c r="Y8" s="232"/>
      <c r="Z8" s="235" t="s">
        <v>57</v>
      </c>
      <c r="AA8" s="232" t="s">
        <v>57</v>
      </c>
      <c r="AB8" s="214">
        <v>5</v>
      </c>
      <c r="AC8" s="214" t="s">
        <v>34</v>
      </c>
    </row>
    <row r="9" spans="1:29">
      <c r="A9" s="232" t="s">
        <v>58</v>
      </c>
      <c r="B9" s="233" t="s">
        <v>31</v>
      </c>
      <c r="C9" s="234">
        <v>1105</v>
      </c>
      <c r="D9" s="240" t="s">
        <v>59</v>
      </c>
      <c r="E9" s="232">
        <v>1</v>
      </c>
      <c r="F9" s="232">
        <v>1</v>
      </c>
      <c r="G9" s="232">
        <v>1</v>
      </c>
      <c r="H9" s="232">
        <v>1</v>
      </c>
      <c r="I9" s="232">
        <v>1</v>
      </c>
      <c r="J9" s="232">
        <v>1</v>
      </c>
      <c r="K9" s="232"/>
      <c r="L9" s="240"/>
      <c r="M9" s="240"/>
      <c r="N9" s="239">
        <v>4</v>
      </c>
      <c r="O9" s="239">
        <v>1</v>
      </c>
      <c r="P9" s="232"/>
      <c r="Q9" s="240"/>
      <c r="R9" s="240"/>
      <c r="S9" s="232">
        <f t="shared" si="0"/>
        <v>5</v>
      </c>
      <c r="T9" s="232">
        <f t="shared" si="1"/>
        <v>3</v>
      </c>
      <c r="U9" s="232"/>
      <c r="V9" s="241"/>
      <c r="W9" s="214" t="s">
        <v>38</v>
      </c>
      <c r="X9" s="232"/>
      <c r="Y9" s="232"/>
      <c r="Z9" s="235" t="s">
        <v>60</v>
      </c>
      <c r="AA9" s="232" t="s">
        <v>60</v>
      </c>
      <c r="AB9" s="214">
        <v>3</v>
      </c>
      <c r="AC9" s="214" t="s">
        <v>42</v>
      </c>
    </row>
    <row r="10" spans="1:29">
      <c r="A10" s="232" t="s">
        <v>61</v>
      </c>
      <c r="B10" s="233" t="s">
        <v>31</v>
      </c>
      <c r="C10" s="234">
        <v>1201</v>
      </c>
      <c r="D10" s="240" t="s">
        <v>62</v>
      </c>
      <c r="E10" s="232">
        <v>2</v>
      </c>
      <c r="F10" s="232">
        <v>2</v>
      </c>
      <c r="G10" s="232">
        <v>2</v>
      </c>
      <c r="H10" s="232">
        <v>2</v>
      </c>
      <c r="I10" s="232">
        <v>2</v>
      </c>
      <c r="J10" s="232">
        <v>2</v>
      </c>
      <c r="K10" s="232"/>
      <c r="L10" s="239">
        <v>4</v>
      </c>
      <c r="M10" s="239">
        <v>2</v>
      </c>
      <c r="N10" s="239">
        <v>1</v>
      </c>
      <c r="O10" s="240"/>
      <c r="P10" s="240"/>
      <c r="Q10" s="240"/>
      <c r="R10" s="239">
        <v>3</v>
      </c>
      <c r="S10" s="232">
        <f t="shared" si="0"/>
        <v>10</v>
      </c>
      <c r="T10" s="232">
        <f t="shared" si="1"/>
        <v>6</v>
      </c>
      <c r="U10" s="240" t="s">
        <v>63</v>
      </c>
      <c r="V10" s="241"/>
      <c r="W10" s="232" t="s">
        <v>38</v>
      </c>
      <c r="X10" s="232" t="s">
        <v>38</v>
      </c>
      <c r="Y10" s="232"/>
      <c r="Z10" s="235" t="s">
        <v>64</v>
      </c>
      <c r="AA10" s="232" t="s">
        <v>65</v>
      </c>
      <c r="AB10" s="214">
        <v>6</v>
      </c>
      <c r="AC10" s="214" t="s">
        <v>34</v>
      </c>
    </row>
    <row r="11" spans="1:29">
      <c r="A11" s="232" t="s">
        <v>66</v>
      </c>
      <c r="B11" s="235" t="s">
        <v>31</v>
      </c>
      <c r="C11" s="247">
        <v>1204</v>
      </c>
      <c r="D11" s="238" t="s">
        <v>67</v>
      </c>
      <c r="E11" s="232">
        <v>2</v>
      </c>
      <c r="F11" s="232">
        <v>2</v>
      </c>
      <c r="G11" s="232">
        <v>2</v>
      </c>
      <c r="H11" s="232">
        <v>2</v>
      </c>
      <c r="I11" s="232">
        <v>2</v>
      </c>
      <c r="J11" s="232">
        <v>2</v>
      </c>
      <c r="K11" s="232"/>
      <c r="L11" s="239">
        <v>3</v>
      </c>
      <c r="M11" s="240"/>
      <c r="N11" s="239">
        <v>1</v>
      </c>
      <c r="O11" s="240">
        <v>1</v>
      </c>
      <c r="P11" s="239">
        <v>1</v>
      </c>
      <c r="Q11" s="239">
        <v>1</v>
      </c>
      <c r="R11" s="239">
        <v>2</v>
      </c>
      <c r="S11" s="232">
        <f t="shared" si="0"/>
        <v>9</v>
      </c>
      <c r="T11" s="232">
        <f t="shared" si="1"/>
        <v>5</v>
      </c>
      <c r="U11" s="236" t="s">
        <v>68</v>
      </c>
      <c r="V11" s="241" t="s">
        <v>53</v>
      </c>
      <c r="W11" s="232" t="s">
        <v>38</v>
      </c>
      <c r="X11" s="232" t="s">
        <v>38</v>
      </c>
      <c r="Y11" s="232"/>
      <c r="Z11" s="235"/>
      <c r="AA11" s="232" t="s">
        <v>33</v>
      </c>
      <c r="AB11" s="214">
        <v>0</v>
      </c>
      <c r="AC11" s="214" t="s">
        <v>42</v>
      </c>
    </row>
    <row r="12" spans="1:29">
      <c r="A12" s="232" t="s">
        <v>69</v>
      </c>
      <c r="B12" s="235" t="s">
        <v>31</v>
      </c>
      <c r="C12" s="247">
        <v>1202</v>
      </c>
      <c r="D12" s="240" t="s">
        <v>70</v>
      </c>
      <c r="E12" s="232">
        <v>2</v>
      </c>
      <c r="F12" s="232">
        <v>2</v>
      </c>
      <c r="G12" s="232">
        <v>2</v>
      </c>
      <c r="H12" s="232">
        <v>2</v>
      </c>
      <c r="I12" s="232">
        <v>2</v>
      </c>
      <c r="J12" s="232">
        <v>2</v>
      </c>
      <c r="K12" s="232"/>
      <c r="L12" s="239">
        <v>4</v>
      </c>
      <c r="M12" s="239">
        <v>2</v>
      </c>
      <c r="N12" s="239"/>
      <c r="O12" s="240"/>
      <c r="P12" s="240"/>
      <c r="Q12" s="240"/>
      <c r="R12" s="239">
        <v>4</v>
      </c>
      <c r="S12" s="232">
        <f t="shared" si="0"/>
        <v>10</v>
      </c>
      <c r="T12" s="232">
        <f t="shared" si="1"/>
        <v>6</v>
      </c>
      <c r="U12" s="240" t="s">
        <v>71</v>
      </c>
      <c r="V12" s="241"/>
      <c r="W12" s="232" t="s">
        <v>38</v>
      </c>
      <c r="X12" s="232" t="s">
        <v>38</v>
      </c>
      <c r="Y12" s="232"/>
      <c r="Z12" s="235" t="s">
        <v>72</v>
      </c>
      <c r="AA12" s="232" t="s">
        <v>72</v>
      </c>
      <c r="AB12" s="214">
        <v>6</v>
      </c>
      <c r="AC12" s="214" t="s">
        <v>34</v>
      </c>
    </row>
    <row r="13" spans="1:29">
      <c r="A13" s="232" t="s">
        <v>73</v>
      </c>
      <c r="B13" s="233" t="s">
        <v>31</v>
      </c>
      <c r="C13" s="234">
        <v>1203</v>
      </c>
      <c r="D13" s="240" t="s">
        <v>74</v>
      </c>
      <c r="E13" s="232">
        <v>2</v>
      </c>
      <c r="F13" s="232">
        <v>2</v>
      </c>
      <c r="G13" s="232">
        <v>2</v>
      </c>
      <c r="H13" s="232">
        <v>2</v>
      </c>
      <c r="I13" s="232">
        <v>2</v>
      </c>
      <c r="J13" s="232">
        <v>2</v>
      </c>
      <c r="K13" s="232"/>
      <c r="L13" s="239">
        <v>4</v>
      </c>
      <c r="M13" s="239">
        <v>2</v>
      </c>
      <c r="N13" s="239">
        <v>1</v>
      </c>
      <c r="O13" s="240"/>
      <c r="P13" s="240"/>
      <c r="Q13" s="240"/>
      <c r="R13" s="239">
        <v>3</v>
      </c>
      <c r="S13" s="232">
        <f t="shared" si="0"/>
        <v>10</v>
      </c>
      <c r="T13" s="232">
        <f t="shared" si="1"/>
        <v>6</v>
      </c>
      <c r="U13" s="232" t="s">
        <v>37</v>
      </c>
      <c r="V13" s="241"/>
      <c r="W13" s="232" t="s">
        <v>38</v>
      </c>
      <c r="X13" s="232" t="s">
        <v>38</v>
      </c>
      <c r="Y13" s="232"/>
      <c r="Z13" s="235" t="s">
        <v>75</v>
      </c>
      <c r="AA13" s="232" t="s">
        <v>75</v>
      </c>
      <c r="AB13" s="214">
        <v>6</v>
      </c>
      <c r="AC13" s="214" t="s">
        <v>34</v>
      </c>
    </row>
    <row r="14" spans="1:29">
      <c r="A14" s="232" t="s">
        <v>76</v>
      </c>
      <c r="B14" s="240" t="s">
        <v>31</v>
      </c>
      <c r="C14" s="248">
        <v>2102</v>
      </c>
      <c r="D14" s="240" t="s">
        <v>77</v>
      </c>
      <c r="E14" s="232">
        <v>3</v>
      </c>
      <c r="F14" s="232">
        <v>3</v>
      </c>
      <c r="G14" s="232">
        <v>3</v>
      </c>
      <c r="H14" s="232">
        <v>3</v>
      </c>
      <c r="I14" s="232">
        <v>3</v>
      </c>
      <c r="J14" s="232">
        <v>3</v>
      </c>
      <c r="K14" s="232"/>
      <c r="L14" s="239">
        <v>4</v>
      </c>
      <c r="M14" s="239">
        <v>2</v>
      </c>
      <c r="N14" s="239"/>
      <c r="O14" s="240"/>
      <c r="P14" s="240"/>
      <c r="Q14" s="240"/>
      <c r="R14" s="239">
        <v>4</v>
      </c>
      <c r="S14" s="232">
        <f t="shared" si="0"/>
        <v>10</v>
      </c>
      <c r="T14" s="232">
        <f t="shared" si="1"/>
        <v>6</v>
      </c>
      <c r="U14" s="232" t="s">
        <v>78</v>
      </c>
      <c r="V14" s="241"/>
      <c r="W14" s="214" t="s">
        <v>38</v>
      </c>
      <c r="X14" s="232" t="s">
        <v>38</v>
      </c>
      <c r="Y14" s="232"/>
      <c r="Z14" s="235" t="s">
        <v>79</v>
      </c>
      <c r="AA14" s="232" t="s">
        <v>79</v>
      </c>
      <c r="AB14" s="214">
        <v>6</v>
      </c>
      <c r="AC14" s="214" t="s">
        <v>34</v>
      </c>
    </row>
    <row r="15" spans="1:29">
      <c r="A15" s="232" t="s">
        <v>80</v>
      </c>
      <c r="B15" s="240" t="s">
        <v>31</v>
      </c>
      <c r="C15" s="248">
        <v>2101</v>
      </c>
      <c r="D15" s="240" t="s">
        <v>81</v>
      </c>
      <c r="E15" s="232">
        <v>3</v>
      </c>
      <c r="F15" s="232">
        <v>3</v>
      </c>
      <c r="G15" s="232">
        <v>3</v>
      </c>
      <c r="H15" s="232">
        <v>3</v>
      </c>
      <c r="I15" s="232">
        <v>3</v>
      </c>
      <c r="J15" s="232">
        <v>3</v>
      </c>
      <c r="K15" s="232"/>
      <c r="L15" s="239">
        <v>3</v>
      </c>
      <c r="M15" s="239">
        <v>2</v>
      </c>
      <c r="N15" s="239">
        <v>1</v>
      </c>
      <c r="O15" s="240"/>
      <c r="P15" s="240"/>
      <c r="Q15" s="240"/>
      <c r="R15" s="239">
        <v>4</v>
      </c>
      <c r="S15" s="232">
        <f t="shared" si="0"/>
        <v>10</v>
      </c>
      <c r="T15" s="232">
        <f t="shared" si="1"/>
        <v>6</v>
      </c>
      <c r="U15" s="232" t="s">
        <v>82</v>
      </c>
      <c r="V15" s="241"/>
      <c r="W15" s="232" t="s">
        <v>38</v>
      </c>
      <c r="X15" s="232" t="s">
        <v>38</v>
      </c>
      <c r="Y15" s="232"/>
      <c r="Z15" s="235" t="s">
        <v>83</v>
      </c>
      <c r="AA15" s="232" t="s">
        <v>83</v>
      </c>
      <c r="AB15" s="214">
        <v>6</v>
      </c>
      <c r="AC15" s="214" t="s">
        <v>34</v>
      </c>
    </row>
    <row r="16" spans="1:29">
      <c r="A16" s="232" t="s">
        <v>84</v>
      </c>
      <c r="B16" s="240" t="s">
        <v>31</v>
      </c>
      <c r="C16" s="248">
        <v>2104</v>
      </c>
      <c r="D16" s="240" t="s">
        <v>85</v>
      </c>
      <c r="E16" s="232">
        <v>3</v>
      </c>
      <c r="F16" s="232">
        <v>3</v>
      </c>
      <c r="G16" s="232">
        <v>3</v>
      </c>
      <c r="H16" s="232">
        <v>3</v>
      </c>
      <c r="I16" s="232">
        <v>3</v>
      </c>
      <c r="J16" s="232">
        <v>3</v>
      </c>
      <c r="K16" s="232"/>
      <c r="L16" s="239">
        <v>3</v>
      </c>
      <c r="M16" s="240">
        <v>2</v>
      </c>
      <c r="N16" s="240"/>
      <c r="O16" s="239">
        <v>2</v>
      </c>
      <c r="P16" s="239"/>
      <c r="Q16" s="239"/>
      <c r="R16" s="239">
        <v>2</v>
      </c>
      <c r="S16" s="232">
        <f t="shared" si="0"/>
        <v>9</v>
      </c>
      <c r="T16" s="232">
        <f t="shared" si="1"/>
        <v>5</v>
      </c>
      <c r="U16" s="232" t="s">
        <v>37</v>
      </c>
      <c r="V16" s="241" t="s">
        <v>86</v>
      </c>
      <c r="W16" s="232" t="s">
        <v>38</v>
      </c>
      <c r="X16" s="232" t="s">
        <v>38</v>
      </c>
      <c r="Y16" s="232"/>
      <c r="Z16" s="235" t="s">
        <v>87</v>
      </c>
      <c r="AA16" s="232" t="s">
        <v>87</v>
      </c>
      <c r="AB16" s="214">
        <v>5</v>
      </c>
      <c r="AC16" s="214" t="s">
        <v>34</v>
      </c>
    </row>
    <row r="17" spans="1:29">
      <c r="A17" s="232" t="s">
        <v>88</v>
      </c>
      <c r="B17" s="245" t="s">
        <v>31</v>
      </c>
      <c r="C17" s="246">
        <v>2103</v>
      </c>
      <c r="D17" s="240" t="s">
        <v>89</v>
      </c>
      <c r="E17" s="232">
        <v>3</v>
      </c>
      <c r="F17" s="232">
        <v>3</v>
      </c>
      <c r="G17" s="232">
        <v>3</v>
      </c>
      <c r="H17" s="232">
        <v>3</v>
      </c>
      <c r="I17" s="232">
        <v>3</v>
      </c>
      <c r="J17" s="232">
        <v>3</v>
      </c>
      <c r="K17" s="232"/>
      <c r="L17" s="239">
        <v>4</v>
      </c>
      <c r="M17" s="239">
        <v>2</v>
      </c>
      <c r="N17" s="239">
        <v>1</v>
      </c>
      <c r="O17" s="240"/>
      <c r="P17" s="240"/>
      <c r="Q17" s="240"/>
      <c r="R17" s="239">
        <v>3</v>
      </c>
      <c r="S17" s="232">
        <f t="shared" si="0"/>
        <v>10</v>
      </c>
      <c r="T17" s="232">
        <f t="shared" si="1"/>
        <v>6</v>
      </c>
      <c r="U17" s="232" t="s">
        <v>74</v>
      </c>
      <c r="V17" s="241" t="s">
        <v>90</v>
      </c>
      <c r="W17" s="232" t="s">
        <v>38</v>
      </c>
      <c r="X17" s="232" t="s">
        <v>38</v>
      </c>
      <c r="Y17" s="232"/>
      <c r="Z17" s="235" t="s">
        <v>91</v>
      </c>
      <c r="AA17" s="232" t="s">
        <v>91</v>
      </c>
      <c r="AB17" s="214">
        <v>6</v>
      </c>
      <c r="AC17" s="214" t="s">
        <v>34</v>
      </c>
    </row>
    <row r="18" spans="1:29">
      <c r="A18" s="232" t="s">
        <v>92</v>
      </c>
      <c r="B18" s="233" t="s">
        <v>31</v>
      </c>
      <c r="C18" s="234">
        <v>2202</v>
      </c>
      <c r="D18" s="240" t="s">
        <v>93</v>
      </c>
      <c r="E18" s="232">
        <v>4</v>
      </c>
      <c r="F18" s="232">
        <v>4</v>
      </c>
      <c r="G18" s="232">
        <v>4</v>
      </c>
      <c r="H18" s="232">
        <v>4</v>
      </c>
      <c r="I18" s="232">
        <v>4</v>
      </c>
      <c r="J18" s="232">
        <v>4</v>
      </c>
      <c r="K18" s="232"/>
      <c r="L18" s="239">
        <v>4</v>
      </c>
      <c r="M18" s="239">
        <v>2</v>
      </c>
      <c r="N18" s="239">
        <v>1</v>
      </c>
      <c r="O18" s="240"/>
      <c r="P18" s="240"/>
      <c r="Q18" s="240"/>
      <c r="R18" s="239">
        <v>3</v>
      </c>
      <c r="S18" s="232">
        <f t="shared" si="0"/>
        <v>10</v>
      </c>
      <c r="T18" s="232">
        <f t="shared" si="1"/>
        <v>6</v>
      </c>
      <c r="U18" s="232" t="s">
        <v>94</v>
      </c>
      <c r="V18" s="241" t="s">
        <v>90</v>
      </c>
      <c r="W18" s="232" t="s">
        <v>38</v>
      </c>
      <c r="X18" s="232" t="s">
        <v>38</v>
      </c>
      <c r="Y18" s="232"/>
      <c r="Z18" s="235" t="s">
        <v>95</v>
      </c>
      <c r="AA18" s="232" t="s">
        <v>95</v>
      </c>
      <c r="AB18" s="214">
        <v>6</v>
      </c>
      <c r="AC18" s="214" t="s">
        <v>34</v>
      </c>
    </row>
    <row r="19" spans="1:29">
      <c r="A19" s="232" t="s">
        <v>96</v>
      </c>
      <c r="B19" s="233" t="s">
        <v>31</v>
      </c>
      <c r="C19" s="234">
        <v>2204</v>
      </c>
      <c r="D19" s="240" t="s">
        <v>97</v>
      </c>
      <c r="E19" s="232">
        <v>4</v>
      </c>
      <c r="F19" s="232">
        <v>4</v>
      </c>
      <c r="G19" s="232">
        <v>4</v>
      </c>
      <c r="H19" s="232">
        <v>4</v>
      </c>
      <c r="I19" s="232">
        <v>4</v>
      </c>
      <c r="J19" s="232">
        <v>4</v>
      </c>
      <c r="K19" s="232"/>
      <c r="L19" s="239">
        <v>4</v>
      </c>
      <c r="M19" s="239">
        <v>2</v>
      </c>
      <c r="N19" s="240"/>
      <c r="O19" s="240"/>
      <c r="P19" s="240"/>
      <c r="Q19" s="240"/>
      <c r="R19" s="239">
        <v>4</v>
      </c>
      <c r="S19" s="232">
        <f t="shared" si="0"/>
        <v>10</v>
      </c>
      <c r="T19" s="232">
        <f t="shared" si="1"/>
        <v>6</v>
      </c>
      <c r="U19" s="232" t="s">
        <v>98</v>
      </c>
      <c r="V19" s="241"/>
      <c r="W19" s="232" t="s">
        <v>38</v>
      </c>
      <c r="X19" s="232" t="s">
        <v>38</v>
      </c>
      <c r="Y19" s="232"/>
      <c r="Z19" s="235" t="s">
        <v>99</v>
      </c>
      <c r="AA19" s="232" t="s">
        <v>99</v>
      </c>
      <c r="AB19" s="214">
        <v>6</v>
      </c>
      <c r="AC19" s="214" t="s">
        <v>34</v>
      </c>
    </row>
    <row r="20" spans="1:29">
      <c r="A20" s="232" t="s">
        <v>100</v>
      </c>
      <c r="B20" s="242" t="s">
        <v>31</v>
      </c>
      <c r="C20" s="249">
        <v>3104</v>
      </c>
      <c r="D20" s="250" t="s">
        <v>101</v>
      </c>
      <c r="E20" s="232">
        <v>4</v>
      </c>
      <c r="F20" s="232">
        <v>4</v>
      </c>
      <c r="G20" s="232">
        <v>4</v>
      </c>
      <c r="H20" s="232">
        <v>4</v>
      </c>
      <c r="I20" s="232">
        <v>4</v>
      </c>
      <c r="J20" s="232">
        <v>4</v>
      </c>
      <c r="K20" s="232"/>
      <c r="L20" s="232">
        <v>2</v>
      </c>
      <c r="M20" s="232"/>
      <c r="N20" s="232"/>
      <c r="O20" s="232"/>
      <c r="P20" s="232"/>
      <c r="Q20" s="232">
        <v>2</v>
      </c>
      <c r="R20" s="232">
        <v>1</v>
      </c>
      <c r="S20" s="232">
        <f t="shared" si="0"/>
        <v>5</v>
      </c>
      <c r="T20" s="232">
        <f t="shared" si="1"/>
        <v>3</v>
      </c>
      <c r="U20" s="232" t="s">
        <v>44</v>
      </c>
      <c r="V20" s="232"/>
      <c r="W20" s="232" t="s">
        <v>38</v>
      </c>
      <c r="X20" s="232" t="s">
        <v>38</v>
      </c>
      <c r="Y20" s="232"/>
      <c r="Z20" s="235" t="s">
        <v>102</v>
      </c>
      <c r="AA20" s="232" t="s">
        <v>102</v>
      </c>
      <c r="AB20" s="214" t="s">
        <v>41</v>
      </c>
      <c r="AC20" s="214" t="s">
        <v>42</v>
      </c>
    </row>
    <row r="21" spans="1:29">
      <c r="A21" s="232" t="s">
        <v>103</v>
      </c>
      <c r="B21" s="233" t="s">
        <v>31</v>
      </c>
      <c r="C21" s="234">
        <v>2201</v>
      </c>
      <c r="D21" s="240" t="s">
        <v>104</v>
      </c>
      <c r="E21" s="232">
        <v>4</v>
      </c>
      <c r="F21" s="232">
        <v>4</v>
      </c>
      <c r="G21" s="232">
        <v>4</v>
      </c>
      <c r="H21" s="232">
        <v>4</v>
      </c>
      <c r="I21" s="232">
        <v>4</v>
      </c>
      <c r="J21" s="232">
        <v>4</v>
      </c>
      <c r="K21" s="235"/>
      <c r="L21" s="251">
        <v>4</v>
      </c>
      <c r="M21" s="251">
        <v>2</v>
      </c>
      <c r="N21" s="251"/>
      <c r="O21" s="235"/>
      <c r="P21" s="235"/>
      <c r="Q21" s="240"/>
      <c r="R21" s="239">
        <v>4</v>
      </c>
      <c r="S21" s="232">
        <f t="shared" si="0"/>
        <v>10</v>
      </c>
      <c r="T21" s="232">
        <f t="shared" si="1"/>
        <v>6</v>
      </c>
      <c r="U21" s="232" t="s">
        <v>77</v>
      </c>
      <c r="V21" s="241"/>
      <c r="W21" s="232" t="s">
        <v>38</v>
      </c>
      <c r="X21" s="232" t="s">
        <v>38</v>
      </c>
      <c r="Y21" s="232"/>
      <c r="Z21" s="235" t="s">
        <v>105</v>
      </c>
      <c r="AA21" s="232" t="s">
        <v>105</v>
      </c>
      <c r="AB21" s="214">
        <v>6</v>
      </c>
      <c r="AC21" s="214" t="s">
        <v>34</v>
      </c>
    </row>
    <row r="22" spans="1:29">
      <c r="A22" s="232" t="s">
        <v>106</v>
      </c>
      <c r="B22" s="240" t="s">
        <v>31</v>
      </c>
      <c r="C22" s="248">
        <v>2203</v>
      </c>
      <c r="D22" s="240" t="s">
        <v>107</v>
      </c>
      <c r="E22" s="232">
        <v>4</v>
      </c>
      <c r="F22" s="232">
        <v>4</v>
      </c>
      <c r="G22" s="232">
        <v>4</v>
      </c>
      <c r="H22" s="232">
        <v>4</v>
      </c>
      <c r="I22" s="232">
        <v>4</v>
      </c>
      <c r="J22" s="232">
        <v>4</v>
      </c>
      <c r="K22" s="232"/>
      <c r="L22" s="239">
        <v>3</v>
      </c>
      <c r="M22" s="239">
        <v>2</v>
      </c>
      <c r="N22" s="239">
        <v>1</v>
      </c>
      <c r="O22" s="240"/>
      <c r="P22" s="240"/>
      <c r="Q22" s="240"/>
      <c r="R22" s="239">
        <v>3</v>
      </c>
      <c r="S22" s="232">
        <f t="shared" si="0"/>
        <v>9</v>
      </c>
      <c r="T22" s="232">
        <f t="shared" si="1"/>
        <v>5</v>
      </c>
      <c r="U22" s="232" t="s">
        <v>108</v>
      </c>
      <c r="V22" s="241" t="s">
        <v>90</v>
      </c>
      <c r="W22" s="232" t="s">
        <v>38</v>
      </c>
      <c r="X22" s="232" t="s">
        <v>38</v>
      </c>
      <c r="Y22" s="232"/>
      <c r="Z22" s="235" t="s">
        <v>109</v>
      </c>
      <c r="AA22" s="232" t="s">
        <v>109</v>
      </c>
      <c r="AB22" s="214">
        <v>5</v>
      </c>
      <c r="AC22" s="214" t="s">
        <v>34</v>
      </c>
    </row>
    <row r="23" spans="1:29">
      <c r="A23" s="232" t="s">
        <v>110</v>
      </c>
      <c r="B23" s="240" t="s">
        <v>11</v>
      </c>
      <c r="C23" s="248" t="s">
        <v>111</v>
      </c>
      <c r="D23" s="232" t="s">
        <v>112</v>
      </c>
      <c r="E23" s="232"/>
      <c r="F23" s="232"/>
      <c r="G23" s="232"/>
      <c r="H23" s="232"/>
      <c r="I23" s="232"/>
      <c r="J23" s="232">
        <v>9</v>
      </c>
      <c r="K23" s="232"/>
      <c r="L23" s="232">
        <v>3</v>
      </c>
      <c r="M23" s="232">
        <v>0</v>
      </c>
      <c r="N23" s="232">
        <v>1</v>
      </c>
      <c r="O23" s="232"/>
      <c r="P23" s="232">
        <v>1</v>
      </c>
      <c r="Q23" s="232"/>
      <c r="R23" s="232">
        <v>5</v>
      </c>
      <c r="S23" s="232">
        <f t="shared" si="0"/>
        <v>10</v>
      </c>
      <c r="T23" s="232">
        <f t="shared" si="1"/>
        <v>6</v>
      </c>
      <c r="U23" s="233" t="s">
        <v>113</v>
      </c>
      <c r="V23" s="241" t="s">
        <v>114</v>
      </c>
      <c r="W23" s="232" t="s">
        <v>38</v>
      </c>
      <c r="X23" s="232"/>
      <c r="Y23" s="232" t="s">
        <v>115</v>
      </c>
      <c r="Z23" s="235"/>
      <c r="AA23" s="232" t="s">
        <v>33</v>
      </c>
      <c r="AB23" s="214">
        <v>6</v>
      </c>
      <c r="AC23" s="214" t="s">
        <v>34</v>
      </c>
    </row>
    <row r="24" spans="1:29">
      <c r="A24" s="232" t="s">
        <v>116</v>
      </c>
      <c r="B24" s="235" t="s">
        <v>9</v>
      </c>
      <c r="C24" s="247">
        <v>3101</v>
      </c>
      <c r="D24" s="250" t="s">
        <v>117</v>
      </c>
      <c r="E24" s="232"/>
      <c r="F24" s="232"/>
      <c r="G24" s="232"/>
      <c r="H24" s="232">
        <v>5</v>
      </c>
      <c r="I24" s="232"/>
      <c r="J24" s="232"/>
      <c r="K24" s="232">
        <v>5</v>
      </c>
      <c r="L24" s="233">
        <v>3</v>
      </c>
      <c r="M24" s="233">
        <v>2</v>
      </c>
      <c r="N24" s="233">
        <v>1</v>
      </c>
      <c r="O24" s="233"/>
      <c r="P24" s="233"/>
      <c r="Q24" s="233"/>
      <c r="R24" s="233">
        <v>4</v>
      </c>
      <c r="S24" s="232">
        <f t="shared" si="0"/>
        <v>10</v>
      </c>
      <c r="T24" s="232">
        <f t="shared" si="1"/>
        <v>6</v>
      </c>
      <c r="U24" s="264" t="s">
        <v>118</v>
      </c>
      <c r="V24" s="252"/>
      <c r="W24" s="232" t="s">
        <v>38</v>
      </c>
      <c r="X24" s="232"/>
      <c r="Y24" s="232"/>
      <c r="Z24" s="235" t="s">
        <v>119</v>
      </c>
      <c r="AA24" s="233" t="s">
        <v>117</v>
      </c>
      <c r="AB24" s="214">
        <v>6</v>
      </c>
      <c r="AC24" s="214" t="s">
        <v>34</v>
      </c>
    </row>
    <row r="25" spans="1:29">
      <c r="A25" s="232" t="s">
        <v>120</v>
      </c>
      <c r="B25" s="235" t="s">
        <v>9</v>
      </c>
      <c r="C25" s="247">
        <v>3103</v>
      </c>
      <c r="D25" s="233" t="s">
        <v>121</v>
      </c>
      <c r="E25" s="232"/>
      <c r="F25" s="232"/>
      <c r="G25" s="232"/>
      <c r="H25" s="232">
        <v>5</v>
      </c>
      <c r="I25" s="232"/>
      <c r="J25" s="232"/>
      <c r="K25" s="232">
        <v>7</v>
      </c>
      <c r="L25" s="233">
        <v>3</v>
      </c>
      <c r="M25" s="233"/>
      <c r="N25" s="233">
        <v>2</v>
      </c>
      <c r="O25" s="233">
        <v>2</v>
      </c>
      <c r="P25" s="233"/>
      <c r="Q25" s="233"/>
      <c r="R25" s="233">
        <v>3</v>
      </c>
      <c r="S25" s="232">
        <f t="shared" si="0"/>
        <v>10</v>
      </c>
      <c r="T25" s="232">
        <f t="shared" si="1"/>
        <v>6</v>
      </c>
      <c r="U25" s="264" t="s">
        <v>122</v>
      </c>
      <c r="V25" s="252"/>
      <c r="W25" s="232" t="s">
        <v>38</v>
      </c>
      <c r="X25" s="232"/>
      <c r="Y25" s="232"/>
      <c r="Z25" s="235" t="s">
        <v>123</v>
      </c>
      <c r="AA25" s="232" t="s">
        <v>123</v>
      </c>
      <c r="AB25" s="214">
        <v>6</v>
      </c>
      <c r="AC25" s="214" t="s">
        <v>34</v>
      </c>
    </row>
    <row r="26" spans="1:29">
      <c r="A26" s="232" t="s">
        <v>124</v>
      </c>
      <c r="B26" s="236" t="s">
        <v>9</v>
      </c>
      <c r="C26" s="237">
        <v>3102</v>
      </c>
      <c r="D26" s="233" t="s">
        <v>125</v>
      </c>
      <c r="E26" s="232"/>
      <c r="F26" s="232"/>
      <c r="G26" s="232"/>
      <c r="H26" s="232">
        <v>5</v>
      </c>
      <c r="I26" s="232"/>
      <c r="J26" s="232"/>
      <c r="K26" s="232"/>
      <c r="L26" s="233">
        <v>3</v>
      </c>
      <c r="M26" s="233">
        <v>2</v>
      </c>
      <c r="N26" s="233">
        <v>1</v>
      </c>
      <c r="O26" s="233"/>
      <c r="P26" s="233"/>
      <c r="Q26" s="233"/>
      <c r="R26" s="233">
        <v>4</v>
      </c>
      <c r="S26" s="232">
        <f t="shared" si="0"/>
        <v>10</v>
      </c>
      <c r="T26" s="232">
        <f t="shared" si="1"/>
        <v>6</v>
      </c>
      <c r="U26" s="264" t="s">
        <v>81</v>
      </c>
      <c r="V26" s="252" t="s">
        <v>86</v>
      </c>
      <c r="W26" s="232" t="s">
        <v>38</v>
      </c>
      <c r="X26" s="232"/>
      <c r="Y26" s="232"/>
      <c r="Z26" s="235"/>
      <c r="AA26" s="233" t="s">
        <v>125</v>
      </c>
      <c r="AB26" s="214">
        <v>6</v>
      </c>
      <c r="AC26" s="214" t="s">
        <v>34</v>
      </c>
    </row>
    <row r="27" spans="1:29">
      <c r="A27" s="232" t="s">
        <v>126</v>
      </c>
      <c r="B27" s="233" t="s">
        <v>9</v>
      </c>
      <c r="C27" s="234">
        <v>3201</v>
      </c>
      <c r="D27" s="233" t="s">
        <v>127</v>
      </c>
      <c r="E27" s="232"/>
      <c r="F27" s="232"/>
      <c r="G27" s="232"/>
      <c r="H27" s="232">
        <v>6</v>
      </c>
      <c r="I27" s="232"/>
      <c r="J27" s="232"/>
      <c r="K27" s="232">
        <v>6</v>
      </c>
      <c r="L27" s="233">
        <v>3</v>
      </c>
      <c r="M27" s="233">
        <v>2</v>
      </c>
      <c r="N27" s="233">
        <v>1</v>
      </c>
      <c r="O27" s="233"/>
      <c r="P27" s="233"/>
      <c r="Q27" s="233"/>
      <c r="R27" s="233">
        <v>4</v>
      </c>
      <c r="S27" s="232">
        <f t="shared" si="0"/>
        <v>10</v>
      </c>
      <c r="T27" s="232">
        <f t="shared" si="1"/>
        <v>6</v>
      </c>
      <c r="U27" s="264" t="s">
        <v>117</v>
      </c>
      <c r="V27" s="252"/>
      <c r="W27" s="232"/>
      <c r="X27" s="232" t="s">
        <v>38</v>
      </c>
      <c r="Y27" s="235"/>
      <c r="Z27" s="235"/>
      <c r="AA27" s="233" t="s">
        <v>128</v>
      </c>
      <c r="AB27" s="214">
        <v>6</v>
      </c>
      <c r="AC27" s="214" t="s">
        <v>34</v>
      </c>
    </row>
    <row r="28" spans="1:29">
      <c r="A28" s="232" t="s">
        <v>129</v>
      </c>
      <c r="B28" s="245" t="s">
        <v>9</v>
      </c>
      <c r="C28" s="246">
        <v>3203</v>
      </c>
      <c r="D28" s="250" t="s">
        <v>130</v>
      </c>
      <c r="E28" s="232"/>
      <c r="F28" s="232"/>
      <c r="G28" s="232"/>
      <c r="H28" s="232">
        <v>6</v>
      </c>
      <c r="I28" s="232"/>
      <c r="J28" s="232"/>
      <c r="K28" s="232"/>
      <c r="L28" s="233">
        <v>3</v>
      </c>
      <c r="M28" s="233"/>
      <c r="N28" s="233">
        <v>2</v>
      </c>
      <c r="O28" s="233"/>
      <c r="P28" s="233"/>
      <c r="Q28" s="233"/>
      <c r="R28" s="233">
        <v>5</v>
      </c>
      <c r="S28" s="232">
        <f t="shared" si="0"/>
        <v>10</v>
      </c>
      <c r="T28" s="232">
        <f t="shared" si="1"/>
        <v>6</v>
      </c>
      <c r="U28" s="264" t="s">
        <v>93</v>
      </c>
      <c r="V28" s="253" t="s">
        <v>131</v>
      </c>
      <c r="W28" s="232"/>
      <c r="X28" s="232" t="s">
        <v>38</v>
      </c>
      <c r="Y28" s="254"/>
      <c r="Z28" s="235"/>
      <c r="AA28" s="232" t="s">
        <v>132</v>
      </c>
      <c r="AB28" s="214">
        <v>6</v>
      </c>
      <c r="AC28" s="214" t="s">
        <v>34</v>
      </c>
    </row>
    <row r="29" spans="1:29">
      <c r="A29" s="232" t="s">
        <v>133</v>
      </c>
      <c r="B29" s="232" t="s">
        <v>9</v>
      </c>
      <c r="C29" s="255">
        <v>3202</v>
      </c>
      <c r="D29" s="250" t="s">
        <v>134</v>
      </c>
      <c r="E29" s="232"/>
      <c r="F29" s="232"/>
      <c r="G29" s="232"/>
      <c r="H29" s="232">
        <v>6</v>
      </c>
      <c r="I29" s="232"/>
      <c r="J29" s="232"/>
      <c r="K29" s="232"/>
      <c r="L29" s="233">
        <v>3</v>
      </c>
      <c r="M29" s="233">
        <v>2</v>
      </c>
      <c r="N29" s="233"/>
      <c r="O29" s="233">
        <v>2</v>
      </c>
      <c r="P29" s="233"/>
      <c r="Q29" s="233"/>
      <c r="R29" s="233">
        <v>3</v>
      </c>
      <c r="S29" s="232">
        <f t="shared" si="0"/>
        <v>10</v>
      </c>
      <c r="T29" s="232">
        <f t="shared" si="1"/>
        <v>6</v>
      </c>
      <c r="U29" s="233" t="s">
        <v>125</v>
      </c>
      <c r="V29" s="252" t="s">
        <v>135</v>
      </c>
      <c r="W29" s="232"/>
      <c r="X29" s="232" t="s">
        <v>38</v>
      </c>
      <c r="Y29" s="254"/>
      <c r="Z29" s="235"/>
      <c r="AA29" s="232" t="s">
        <v>136</v>
      </c>
      <c r="AB29" s="214">
        <v>6</v>
      </c>
      <c r="AC29" s="214" t="s">
        <v>34</v>
      </c>
    </row>
    <row r="30" spans="1:29">
      <c r="A30" s="232" t="s">
        <v>137</v>
      </c>
      <c r="B30" s="232" t="s">
        <v>9</v>
      </c>
      <c r="C30" s="255" t="s">
        <v>138</v>
      </c>
      <c r="D30" s="233" t="s">
        <v>139</v>
      </c>
      <c r="E30" s="232"/>
      <c r="F30" s="232"/>
      <c r="G30" s="232"/>
      <c r="H30" s="232">
        <v>6</v>
      </c>
      <c r="I30" s="232"/>
      <c r="J30" s="232"/>
      <c r="K30" s="232"/>
      <c r="L30" s="233">
        <v>3</v>
      </c>
      <c r="M30" s="233"/>
      <c r="N30" s="233">
        <v>3</v>
      </c>
      <c r="O30" s="233">
        <v>2</v>
      </c>
      <c r="P30" s="233"/>
      <c r="Q30" s="233"/>
      <c r="R30" s="233">
        <v>2</v>
      </c>
      <c r="S30" s="232">
        <f t="shared" si="0"/>
        <v>10</v>
      </c>
      <c r="T30" s="232">
        <f t="shared" si="1"/>
        <v>6</v>
      </c>
      <c r="U30" s="264" t="s">
        <v>140</v>
      </c>
      <c r="V30" s="252"/>
      <c r="W30" s="232"/>
      <c r="X30" s="232" t="s">
        <v>38</v>
      </c>
      <c r="Y30" s="235"/>
      <c r="Z30" s="235"/>
      <c r="AA30" s="232" t="s">
        <v>141</v>
      </c>
      <c r="AB30" s="214">
        <v>6</v>
      </c>
      <c r="AC30" s="214" t="s">
        <v>34</v>
      </c>
    </row>
    <row r="31" spans="1:29">
      <c r="A31" s="232" t="s">
        <v>142</v>
      </c>
      <c r="B31" s="233" t="s">
        <v>11</v>
      </c>
      <c r="C31" s="234" t="s">
        <v>143</v>
      </c>
      <c r="D31" s="233" t="s">
        <v>144</v>
      </c>
      <c r="E31" s="232"/>
      <c r="F31" s="232"/>
      <c r="G31" s="232"/>
      <c r="H31" s="232"/>
      <c r="I31" s="232"/>
      <c r="J31" s="232">
        <v>7</v>
      </c>
      <c r="K31" s="232"/>
      <c r="L31" s="233">
        <v>3</v>
      </c>
      <c r="M31" s="233">
        <v>2</v>
      </c>
      <c r="N31" s="233"/>
      <c r="O31" s="233"/>
      <c r="P31" s="233"/>
      <c r="Q31" s="233">
        <v>1</v>
      </c>
      <c r="R31" s="233">
        <v>4</v>
      </c>
      <c r="S31" s="232">
        <f t="shared" si="0"/>
        <v>10</v>
      </c>
      <c r="T31" s="232">
        <f t="shared" si="1"/>
        <v>6</v>
      </c>
      <c r="U31" s="233" t="s">
        <v>145</v>
      </c>
      <c r="V31" s="252" t="s">
        <v>86</v>
      </c>
      <c r="W31" s="232" t="s">
        <v>38</v>
      </c>
      <c r="X31" s="232"/>
      <c r="Y31" s="233" t="s">
        <v>146</v>
      </c>
      <c r="Z31" s="235"/>
      <c r="AA31" s="232" t="s">
        <v>33</v>
      </c>
      <c r="AB31" s="214">
        <v>6</v>
      </c>
      <c r="AC31" s="214" t="s">
        <v>34</v>
      </c>
    </row>
    <row r="32" ht="28.5" spans="1:29">
      <c r="A32" s="232" t="s">
        <v>147</v>
      </c>
      <c r="B32" s="232" t="s">
        <v>11</v>
      </c>
      <c r="C32" s="255" t="s">
        <v>148</v>
      </c>
      <c r="D32" s="232" t="s">
        <v>149</v>
      </c>
      <c r="E32" s="232"/>
      <c r="F32" s="232"/>
      <c r="G32" s="232"/>
      <c r="H32" s="232"/>
      <c r="I32" s="232"/>
      <c r="J32" s="232">
        <v>8</v>
      </c>
      <c r="K32" s="232"/>
      <c r="L32" s="233">
        <v>3</v>
      </c>
      <c r="M32" s="233">
        <v>2</v>
      </c>
      <c r="N32" s="233">
        <v>2</v>
      </c>
      <c r="O32" s="233"/>
      <c r="P32" s="233"/>
      <c r="Q32" s="233">
        <v>1</v>
      </c>
      <c r="R32" s="233">
        <v>3</v>
      </c>
      <c r="S32" s="232">
        <f t="shared" si="0"/>
        <v>11</v>
      </c>
      <c r="T32" s="232">
        <f t="shared" si="1"/>
        <v>7</v>
      </c>
      <c r="U32" s="233" t="s">
        <v>150</v>
      </c>
      <c r="V32" s="252" t="s">
        <v>135</v>
      </c>
      <c r="W32" s="232"/>
      <c r="X32" s="232" t="s">
        <v>38</v>
      </c>
      <c r="Y32" s="232" t="s">
        <v>151</v>
      </c>
      <c r="Z32" s="235"/>
      <c r="AA32" s="232" t="s">
        <v>33</v>
      </c>
      <c r="AB32" s="214">
        <v>6</v>
      </c>
      <c r="AC32" s="214" t="s">
        <v>34</v>
      </c>
    </row>
    <row r="33" spans="1:29">
      <c r="A33" s="232" t="s">
        <v>152</v>
      </c>
      <c r="B33" s="233" t="s">
        <v>9</v>
      </c>
      <c r="C33" s="234" t="s">
        <v>153</v>
      </c>
      <c r="D33" s="250" t="s">
        <v>154</v>
      </c>
      <c r="E33" s="232"/>
      <c r="F33" s="232"/>
      <c r="G33" s="232"/>
      <c r="H33" s="232">
        <v>7</v>
      </c>
      <c r="I33" s="232"/>
      <c r="J33" s="232"/>
      <c r="K33" s="232"/>
      <c r="L33" s="233">
        <v>3</v>
      </c>
      <c r="M33" s="233"/>
      <c r="N33" s="233">
        <v>2</v>
      </c>
      <c r="O33" s="233">
        <v>2</v>
      </c>
      <c r="P33" s="233"/>
      <c r="Q33" s="233"/>
      <c r="R33" s="233">
        <v>3</v>
      </c>
      <c r="S33" s="232">
        <f t="shared" si="0"/>
        <v>10</v>
      </c>
      <c r="T33" s="232">
        <f t="shared" si="1"/>
        <v>6</v>
      </c>
      <c r="U33" s="264" t="s">
        <v>155</v>
      </c>
      <c r="V33" s="252" t="s">
        <v>156</v>
      </c>
      <c r="W33" s="232" t="s">
        <v>38</v>
      </c>
      <c r="X33" s="232"/>
      <c r="Y33" s="232"/>
      <c r="Z33" s="235"/>
      <c r="AA33" s="233" t="s">
        <v>154</v>
      </c>
      <c r="AB33" s="214">
        <v>6</v>
      </c>
      <c r="AC33" s="214" t="s">
        <v>34</v>
      </c>
    </row>
    <row r="34" spans="1:29">
      <c r="A34" s="232" t="s">
        <v>157</v>
      </c>
      <c r="B34" s="233" t="s">
        <v>9</v>
      </c>
      <c r="C34" s="234">
        <v>4102</v>
      </c>
      <c r="D34" s="250" t="s">
        <v>158</v>
      </c>
      <c r="E34" s="232"/>
      <c r="F34" s="232"/>
      <c r="G34" s="232"/>
      <c r="H34" s="232">
        <v>7</v>
      </c>
      <c r="I34" s="232"/>
      <c r="J34" s="232"/>
      <c r="K34" s="232"/>
      <c r="L34" s="233">
        <v>3</v>
      </c>
      <c r="M34" s="233"/>
      <c r="N34" s="233">
        <v>1</v>
      </c>
      <c r="O34" s="233">
        <v>1</v>
      </c>
      <c r="P34" s="233">
        <v>1</v>
      </c>
      <c r="Q34" s="233">
        <v>1</v>
      </c>
      <c r="R34" s="233">
        <v>3</v>
      </c>
      <c r="S34" s="232">
        <f t="shared" si="0"/>
        <v>10</v>
      </c>
      <c r="T34" s="232">
        <f t="shared" si="1"/>
        <v>6</v>
      </c>
      <c r="U34" s="264" t="s">
        <v>159</v>
      </c>
      <c r="V34" s="252" t="s">
        <v>160</v>
      </c>
      <c r="W34" s="232" t="s">
        <v>38</v>
      </c>
      <c r="X34" s="232"/>
      <c r="Y34" s="232"/>
      <c r="Z34" s="235"/>
      <c r="AA34" s="233" t="s">
        <v>158</v>
      </c>
      <c r="AB34" s="214">
        <v>6</v>
      </c>
      <c r="AC34" s="214" t="s">
        <v>34</v>
      </c>
    </row>
    <row r="35" spans="1:29">
      <c r="A35" s="232" t="s">
        <v>161</v>
      </c>
      <c r="B35" s="232" t="s">
        <v>9</v>
      </c>
      <c r="C35" s="255">
        <v>4101</v>
      </c>
      <c r="D35" s="233" t="s">
        <v>162</v>
      </c>
      <c r="E35" s="232"/>
      <c r="F35" s="232"/>
      <c r="G35" s="232"/>
      <c r="H35" s="232">
        <v>7</v>
      </c>
      <c r="I35" s="232"/>
      <c r="J35" s="232"/>
      <c r="K35" s="232"/>
      <c r="L35" s="256">
        <v>3</v>
      </c>
      <c r="M35" s="233"/>
      <c r="N35" s="256">
        <v>3</v>
      </c>
      <c r="O35" s="233">
        <v>2</v>
      </c>
      <c r="P35" s="233"/>
      <c r="Q35" s="233"/>
      <c r="R35" s="233">
        <v>2</v>
      </c>
      <c r="S35" s="232">
        <f t="shared" si="0"/>
        <v>10</v>
      </c>
      <c r="T35" s="232">
        <f t="shared" si="1"/>
        <v>6</v>
      </c>
      <c r="U35" s="264" t="s">
        <v>163</v>
      </c>
      <c r="V35" s="252"/>
      <c r="W35" s="232" t="s">
        <v>38</v>
      </c>
      <c r="X35" s="232"/>
      <c r="Y35" s="232"/>
      <c r="Z35" s="235"/>
      <c r="AA35" s="232" t="s">
        <v>164</v>
      </c>
      <c r="AB35" s="214">
        <v>6</v>
      </c>
      <c r="AC35" s="214" t="s">
        <v>34</v>
      </c>
    </row>
    <row r="36" spans="1:29">
      <c r="A36" s="232" t="s">
        <v>165</v>
      </c>
      <c r="B36" s="233" t="s">
        <v>9</v>
      </c>
      <c r="C36" s="234">
        <v>4204</v>
      </c>
      <c r="D36" s="250" t="s">
        <v>166</v>
      </c>
      <c r="E36" s="232"/>
      <c r="F36" s="232"/>
      <c r="G36" s="232"/>
      <c r="H36" s="232">
        <v>8</v>
      </c>
      <c r="I36" s="232"/>
      <c r="J36" s="232"/>
      <c r="K36" s="232"/>
      <c r="L36" s="233">
        <v>3</v>
      </c>
      <c r="M36" s="233"/>
      <c r="N36" s="233">
        <v>2</v>
      </c>
      <c r="O36" s="233"/>
      <c r="P36" s="233"/>
      <c r="Q36" s="233"/>
      <c r="R36" s="233">
        <v>5</v>
      </c>
      <c r="S36" s="232">
        <f t="shared" si="0"/>
        <v>10</v>
      </c>
      <c r="T36" s="232">
        <f t="shared" si="1"/>
        <v>6</v>
      </c>
      <c r="U36" s="264" t="s">
        <v>158</v>
      </c>
      <c r="V36" s="252"/>
      <c r="W36" s="232"/>
      <c r="X36" s="232" t="s">
        <v>38</v>
      </c>
      <c r="Y36" s="254"/>
      <c r="Z36" s="235"/>
      <c r="AA36" s="232" t="s">
        <v>167</v>
      </c>
      <c r="AB36" s="214">
        <v>6</v>
      </c>
      <c r="AC36" s="214" t="s">
        <v>34</v>
      </c>
    </row>
    <row r="37" spans="1:29">
      <c r="A37" s="232" t="s">
        <v>168</v>
      </c>
      <c r="B37" s="233" t="s">
        <v>9</v>
      </c>
      <c r="C37" s="234">
        <v>4202</v>
      </c>
      <c r="D37" s="250" t="s">
        <v>169</v>
      </c>
      <c r="E37" s="232"/>
      <c r="F37" s="232"/>
      <c r="G37" s="232"/>
      <c r="H37" s="232">
        <v>8</v>
      </c>
      <c r="I37" s="232"/>
      <c r="J37" s="232"/>
      <c r="K37" s="232"/>
      <c r="L37" s="233">
        <v>3</v>
      </c>
      <c r="M37" s="233"/>
      <c r="N37" s="233">
        <v>2</v>
      </c>
      <c r="O37" s="233">
        <v>2</v>
      </c>
      <c r="P37" s="233"/>
      <c r="Q37" s="233"/>
      <c r="R37" s="233">
        <v>3</v>
      </c>
      <c r="S37" s="232">
        <f t="shared" si="0"/>
        <v>10</v>
      </c>
      <c r="T37" s="232">
        <f t="shared" si="1"/>
        <v>6</v>
      </c>
      <c r="U37" s="233" t="s">
        <v>170</v>
      </c>
      <c r="V37" s="252" t="s">
        <v>156</v>
      </c>
      <c r="W37" s="232"/>
      <c r="X37" s="232" t="s">
        <v>38</v>
      </c>
      <c r="Y37" s="254"/>
      <c r="Z37" s="235"/>
      <c r="AA37" s="233" t="s">
        <v>169</v>
      </c>
      <c r="AB37" s="214">
        <v>6</v>
      </c>
      <c r="AC37" s="214" t="s">
        <v>34</v>
      </c>
    </row>
    <row r="38" spans="1:29">
      <c r="A38" s="232" t="s">
        <v>171</v>
      </c>
      <c r="B38" s="232" t="s">
        <v>9</v>
      </c>
      <c r="C38" s="255">
        <v>4203</v>
      </c>
      <c r="D38" s="250" t="s">
        <v>172</v>
      </c>
      <c r="E38" s="242"/>
      <c r="F38" s="242"/>
      <c r="G38" s="242"/>
      <c r="H38" s="242">
        <v>8</v>
      </c>
      <c r="I38" s="242"/>
      <c r="J38" s="242"/>
      <c r="K38" s="242"/>
      <c r="L38" s="250">
        <v>3</v>
      </c>
      <c r="M38" s="250">
        <v>2</v>
      </c>
      <c r="N38" s="250"/>
      <c r="O38" s="250">
        <v>2</v>
      </c>
      <c r="P38" s="250"/>
      <c r="Q38" s="250"/>
      <c r="R38" s="250">
        <v>3</v>
      </c>
      <c r="S38" s="242">
        <f t="shared" si="0"/>
        <v>10</v>
      </c>
      <c r="T38" s="232">
        <f t="shared" si="1"/>
        <v>6</v>
      </c>
      <c r="U38" s="265" t="s">
        <v>154</v>
      </c>
      <c r="V38" s="257" t="s">
        <v>156</v>
      </c>
      <c r="W38" s="242"/>
      <c r="X38" s="232" t="s">
        <v>38</v>
      </c>
      <c r="Y38" s="254"/>
      <c r="Z38" s="254"/>
      <c r="AA38" s="250" t="s">
        <v>172</v>
      </c>
      <c r="AB38" s="214">
        <v>6</v>
      </c>
      <c r="AC38" s="214" t="s">
        <v>34</v>
      </c>
    </row>
    <row r="39" spans="1:29">
      <c r="A39" s="232" t="s">
        <v>173</v>
      </c>
      <c r="B39" s="232" t="s">
        <v>9</v>
      </c>
      <c r="C39" s="255" t="s">
        <v>174</v>
      </c>
      <c r="D39" s="233" t="s">
        <v>175</v>
      </c>
      <c r="E39" s="232"/>
      <c r="F39" s="232"/>
      <c r="G39" s="232"/>
      <c r="H39" s="232">
        <v>8</v>
      </c>
      <c r="I39" s="232"/>
      <c r="J39" s="232"/>
      <c r="K39" s="232"/>
      <c r="L39" s="240">
        <v>3</v>
      </c>
      <c r="M39" s="233"/>
      <c r="N39" s="233">
        <v>3</v>
      </c>
      <c r="O39" s="233">
        <v>6</v>
      </c>
      <c r="P39" s="233"/>
      <c r="Q39" s="233"/>
      <c r="R39" s="233">
        <v>3</v>
      </c>
      <c r="S39" s="232">
        <f t="shared" si="0"/>
        <v>15</v>
      </c>
      <c r="T39" s="232">
        <f t="shared" si="1"/>
        <v>9</v>
      </c>
      <c r="U39" s="232" t="s">
        <v>176</v>
      </c>
      <c r="V39" s="232" t="s">
        <v>135</v>
      </c>
      <c r="W39" s="232"/>
      <c r="X39" s="232" t="s">
        <v>38</v>
      </c>
      <c r="Y39" s="235"/>
      <c r="Z39" s="235" t="s">
        <v>177</v>
      </c>
      <c r="AA39" s="232"/>
      <c r="AB39" s="214" t="s">
        <v>41</v>
      </c>
      <c r="AC39" s="214" t="s">
        <v>42</v>
      </c>
    </row>
    <row r="40" spans="1:29">
      <c r="A40" s="232" t="s">
        <v>178</v>
      </c>
      <c r="B40" s="250" t="s">
        <v>9</v>
      </c>
      <c r="C40" s="258" t="s">
        <v>179</v>
      </c>
      <c r="D40" s="250" t="s">
        <v>180</v>
      </c>
      <c r="E40" s="242"/>
      <c r="F40" s="242"/>
      <c r="G40" s="242"/>
      <c r="H40" s="242">
        <v>9</v>
      </c>
      <c r="I40" s="242"/>
      <c r="J40" s="242"/>
      <c r="K40" s="242"/>
      <c r="L40" s="238">
        <v>3</v>
      </c>
      <c r="M40" s="233"/>
      <c r="N40" s="233">
        <v>2</v>
      </c>
      <c r="O40" s="233"/>
      <c r="P40" s="233">
        <v>2</v>
      </c>
      <c r="Q40" s="233"/>
      <c r="R40" s="233">
        <v>3</v>
      </c>
      <c r="S40" s="242">
        <f t="shared" si="0"/>
        <v>10</v>
      </c>
      <c r="T40" s="232">
        <f t="shared" si="1"/>
        <v>6</v>
      </c>
      <c r="U40" s="242" t="s">
        <v>181</v>
      </c>
      <c r="V40" s="242"/>
      <c r="W40" s="232" t="s">
        <v>38</v>
      </c>
      <c r="X40" s="242"/>
      <c r="Y40" s="242"/>
      <c r="Z40" s="254"/>
      <c r="AA40" s="242"/>
      <c r="AB40" s="214" t="s">
        <v>41</v>
      </c>
      <c r="AC40" s="214" t="s">
        <v>42</v>
      </c>
    </row>
    <row r="41" spans="1:29">
      <c r="A41" s="232" t="s">
        <v>182</v>
      </c>
      <c r="B41" s="233" t="s">
        <v>9</v>
      </c>
      <c r="C41" s="234" t="s">
        <v>183</v>
      </c>
      <c r="D41" s="250" t="s">
        <v>184</v>
      </c>
      <c r="E41" s="232"/>
      <c r="F41" s="232"/>
      <c r="G41" s="232"/>
      <c r="H41" s="232">
        <v>9</v>
      </c>
      <c r="I41" s="232"/>
      <c r="J41" s="232"/>
      <c r="K41" s="232"/>
      <c r="L41" s="233">
        <v>3</v>
      </c>
      <c r="M41" s="233"/>
      <c r="N41" s="233"/>
      <c r="O41" s="250">
        <v>2</v>
      </c>
      <c r="P41" s="250">
        <v>2</v>
      </c>
      <c r="Q41" s="250">
        <v>1</v>
      </c>
      <c r="R41" s="250">
        <v>2</v>
      </c>
      <c r="S41" s="242">
        <f t="shared" si="0"/>
        <v>10</v>
      </c>
      <c r="T41" s="232">
        <f t="shared" si="1"/>
        <v>6</v>
      </c>
      <c r="U41" s="264" t="s">
        <v>185</v>
      </c>
      <c r="V41" s="252" t="s">
        <v>186</v>
      </c>
      <c r="W41" s="232" t="s">
        <v>38</v>
      </c>
      <c r="X41" s="232"/>
      <c r="Y41" s="232"/>
      <c r="Z41" s="235"/>
      <c r="AA41" s="233"/>
    </row>
    <row r="42" spans="1:29">
      <c r="A42" s="232" t="s">
        <v>187</v>
      </c>
      <c r="B42" s="242" t="s">
        <v>9</v>
      </c>
      <c r="C42" s="249" t="s">
        <v>188</v>
      </c>
      <c r="D42" s="250" t="s">
        <v>189</v>
      </c>
      <c r="E42" s="242"/>
      <c r="F42" s="242"/>
      <c r="G42" s="242"/>
      <c r="H42" s="242">
        <v>9</v>
      </c>
      <c r="I42" s="242"/>
      <c r="J42" s="242"/>
      <c r="K42" s="242"/>
      <c r="L42" s="242">
        <v>4</v>
      </c>
      <c r="M42" s="242"/>
      <c r="N42" s="242"/>
      <c r="O42" s="242">
        <v>2</v>
      </c>
      <c r="P42" s="242"/>
      <c r="Q42" s="242"/>
      <c r="R42" s="242">
        <v>4</v>
      </c>
      <c r="S42" s="242">
        <f t="shared" si="0"/>
        <v>10</v>
      </c>
      <c r="T42" s="232">
        <f t="shared" si="1"/>
        <v>6</v>
      </c>
      <c r="U42" s="242" t="s">
        <v>190</v>
      </c>
      <c r="V42" s="242"/>
      <c r="W42" s="232" t="s">
        <v>38</v>
      </c>
      <c r="X42" s="242"/>
      <c r="Y42" s="242"/>
      <c r="Z42" s="254"/>
      <c r="AA42" s="242"/>
      <c r="AB42" s="214" t="s">
        <v>41</v>
      </c>
      <c r="AC42" s="214" t="s">
        <v>42</v>
      </c>
    </row>
    <row r="43" spans="1:29">
      <c r="A43" s="232" t="s">
        <v>191</v>
      </c>
      <c r="B43" s="233" t="s">
        <v>9</v>
      </c>
      <c r="C43" s="234" t="s">
        <v>192</v>
      </c>
      <c r="D43" s="233" t="s">
        <v>193</v>
      </c>
      <c r="E43" s="232"/>
      <c r="F43" s="232"/>
      <c r="G43" s="232"/>
      <c r="H43" s="232">
        <v>9</v>
      </c>
      <c r="I43" s="232"/>
      <c r="J43" s="232"/>
      <c r="K43" s="232"/>
      <c r="L43" s="240">
        <v>3</v>
      </c>
      <c r="M43" s="233">
        <v>2</v>
      </c>
      <c r="N43" s="233"/>
      <c r="O43" s="233"/>
      <c r="P43" s="233">
        <v>2</v>
      </c>
      <c r="Q43" s="233"/>
      <c r="R43" s="233">
        <v>3</v>
      </c>
      <c r="S43" s="232">
        <f t="shared" si="0"/>
        <v>10</v>
      </c>
      <c r="T43" s="232">
        <f t="shared" si="1"/>
        <v>6</v>
      </c>
      <c r="U43" s="232" t="s">
        <v>190</v>
      </c>
      <c r="V43" s="232" t="s">
        <v>186</v>
      </c>
      <c r="W43" s="232" t="s">
        <v>38</v>
      </c>
      <c r="X43" s="232"/>
      <c r="Y43" s="232"/>
      <c r="Z43" s="235"/>
      <c r="AA43" s="232"/>
      <c r="AB43" s="214" t="s">
        <v>41</v>
      </c>
      <c r="AC43" s="214" t="s">
        <v>42</v>
      </c>
    </row>
    <row r="44" ht="28.5" spans="1:29">
      <c r="A44" s="232" t="s">
        <v>194</v>
      </c>
      <c r="B44" s="232" t="s">
        <v>11</v>
      </c>
      <c r="C44" s="255" t="s">
        <v>195</v>
      </c>
      <c r="D44" s="233" t="s">
        <v>113</v>
      </c>
      <c r="E44" s="232"/>
      <c r="F44" s="232"/>
      <c r="G44" s="232"/>
      <c r="H44" s="232"/>
      <c r="I44" s="232"/>
      <c r="J44" s="232">
        <v>8</v>
      </c>
      <c r="K44" s="232"/>
      <c r="L44" s="232">
        <v>3</v>
      </c>
      <c r="M44" s="232">
        <v>2</v>
      </c>
      <c r="N44" s="232">
        <v>0</v>
      </c>
      <c r="O44" s="232">
        <v>6</v>
      </c>
      <c r="P44" s="232">
        <v>1</v>
      </c>
      <c r="Q44" s="232"/>
      <c r="R44" s="232">
        <v>3</v>
      </c>
      <c r="S44" s="232">
        <f t="shared" si="0"/>
        <v>15</v>
      </c>
      <c r="T44" s="232">
        <f t="shared" si="1"/>
        <v>9</v>
      </c>
      <c r="U44" s="233" t="s">
        <v>196</v>
      </c>
      <c r="V44" s="241" t="s">
        <v>156</v>
      </c>
      <c r="W44" s="232"/>
      <c r="X44" s="232" t="s">
        <v>38</v>
      </c>
      <c r="Y44" s="233" t="s">
        <v>197</v>
      </c>
      <c r="Z44" s="235"/>
      <c r="AA44" s="232" t="s">
        <v>33</v>
      </c>
      <c r="AB44" s="214">
        <v>9</v>
      </c>
      <c r="AC44" s="214" t="s">
        <v>34</v>
      </c>
    </row>
    <row r="45" spans="1:29">
      <c r="A45" s="232" t="s">
        <v>198</v>
      </c>
      <c r="B45" s="235" t="s">
        <v>11</v>
      </c>
      <c r="C45" s="247" t="s">
        <v>199</v>
      </c>
      <c r="D45" s="233" t="s">
        <v>200</v>
      </c>
      <c r="E45" s="232"/>
      <c r="F45" s="232"/>
      <c r="G45" s="232"/>
      <c r="H45" s="232"/>
      <c r="I45" s="232"/>
      <c r="J45" s="232">
        <v>6</v>
      </c>
      <c r="K45" s="232"/>
      <c r="L45" s="233">
        <v>3</v>
      </c>
      <c r="M45" s="233"/>
      <c r="N45" s="233">
        <v>1</v>
      </c>
      <c r="O45" s="233">
        <v>2</v>
      </c>
      <c r="P45" s="233">
        <v>1</v>
      </c>
      <c r="Q45" s="233">
        <v>1</v>
      </c>
      <c r="R45" s="233">
        <v>2</v>
      </c>
      <c r="S45" s="232">
        <f t="shared" si="0"/>
        <v>10</v>
      </c>
      <c r="T45" s="232">
        <f t="shared" si="1"/>
        <v>6</v>
      </c>
      <c r="U45" s="233" t="s">
        <v>201</v>
      </c>
      <c r="V45" s="252" t="s">
        <v>156</v>
      </c>
      <c r="W45" s="232"/>
      <c r="X45" s="214" t="s">
        <v>38</v>
      </c>
      <c r="Y45" s="233" t="s">
        <v>202</v>
      </c>
      <c r="Z45" s="235"/>
      <c r="AA45" s="232" t="s">
        <v>33</v>
      </c>
      <c r="AB45" s="214">
        <v>6</v>
      </c>
      <c r="AC45" s="214" t="s">
        <v>34</v>
      </c>
    </row>
    <row r="46" ht="28.5" spans="1:29">
      <c r="A46" s="232" t="s">
        <v>203</v>
      </c>
      <c r="B46" s="233" t="s">
        <v>9</v>
      </c>
      <c r="C46" s="234" t="s">
        <v>204</v>
      </c>
      <c r="D46" s="250" t="s">
        <v>205</v>
      </c>
      <c r="E46" s="254"/>
      <c r="F46" s="254"/>
      <c r="G46" s="254"/>
      <c r="H46" s="254">
        <v>10</v>
      </c>
      <c r="I46" s="254">
        <v>7</v>
      </c>
      <c r="J46" s="235"/>
      <c r="K46" s="235"/>
      <c r="L46" s="245">
        <v>2</v>
      </c>
      <c r="M46" s="245">
        <v>2</v>
      </c>
      <c r="N46" s="245"/>
      <c r="O46" s="245">
        <v>4</v>
      </c>
      <c r="P46" s="259"/>
      <c r="Q46" s="259"/>
      <c r="R46" s="259">
        <v>2</v>
      </c>
      <c r="S46" s="259">
        <f t="shared" si="0"/>
        <v>10</v>
      </c>
      <c r="T46" s="232">
        <f t="shared" si="1"/>
        <v>6</v>
      </c>
      <c r="U46" s="260" t="s">
        <v>206</v>
      </c>
      <c r="V46" s="261" t="s">
        <v>114</v>
      </c>
      <c r="W46" s="232" t="s">
        <v>38</v>
      </c>
      <c r="X46" s="214" t="s">
        <v>38</v>
      </c>
      <c r="Y46" s="254"/>
      <c r="Z46" s="254"/>
      <c r="AA46" s="254" t="s">
        <v>207</v>
      </c>
      <c r="AB46" s="214">
        <v>6</v>
      </c>
      <c r="AC46" s="214" t="s">
        <v>34</v>
      </c>
    </row>
    <row r="47" spans="1:29">
      <c r="A47" s="232" t="s">
        <v>208</v>
      </c>
      <c r="B47" s="233" t="s">
        <v>9</v>
      </c>
      <c r="C47" s="234" t="s">
        <v>209</v>
      </c>
      <c r="D47" s="233" t="s">
        <v>210</v>
      </c>
      <c r="E47" s="232"/>
      <c r="F47" s="232"/>
      <c r="G47" s="232"/>
      <c r="H47" s="232">
        <v>10</v>
      </c>
      <c r="I47" s="232"/>
      <c r="J47" s="232"/>
      <c r="K47" s="232"/>
      <c r="L47" s="240">
        <v>3</v>
      </c>
      <c r="M47" s="233"/>
      <c r="N47" s="233">
        <v>2</v>
      </c>
      <c r="O47" s="233"/>
      <c r="P47" s="233">
        <v>2</v>
      </c>
      <c r="Q47" s="233"/>
      <c r="R47" s="233">
        <v>3</v>
      </c>
      <c r="S47" s="232">
        <f t="shared" si="0"/>
        <v>10</v>
      </c>
      <c r="T47" s="232">
        <f t="shared" si="1"/>
        <v>6</v>
      </c>
      <c r="U47" s="232" t="s">
        <v>193</v>
      </c>
      <c r="V47" s="232"/>
      <c r="W47" s="232"/>
      <c r="X47" s="232" t="s">
        <v>38</v>
      </c>
      <c r="Y47" s="235"/>
      <c r="Z47" s="235"/>
      <c r="AA47" s="232"/>
      <c r="AB47" s="214" t="s">
        <v>41</v>
      </c>
      <c r="AC47" s="214" t="s">
        <v>42</v>
      </c>
    </row>
    <row r="48" spans="1:29">
      <c r="A48" s="232" t="s">
        <v>211</v>
      </c>
      <c r="B48" s="232" t="s">
        <v>9</v>
      </c>
      <c r="C48" s="255">
        <v>5102</v>
      </c>
      <c r="D48" s="233" t="s">
        <v>212</v>
      </c>
      <c r="E48" s="232"/>
      <c r="F48" s="232"/>
      <c r="G48" s="232"/>
      <c r="H48" s="232">
        <v>10</v>
      </c>
      <c r="I48" s="232"/>
      <c r="J48" s="232"/>
      <c r="K48" s="232"/>
      <c r="L48" s="233">
        <v>3</v>
      </c>
      <c r="M48" s="233"/>
      <c r="N48" s="233"/>
      <c r="O48" s="233">
        <v>2</v>
      </c>
      <c r="P48" s="233"/>
      <c r="Q48" s="233"/>
      <c r="R48" s="233">
        <v>5</v>
      </c>
      <c r="S48" s="232">
        <f t="shared" si="0"/>
        <v>10</v>
      </c>
      <c r="T48" s="232">
        <f t="shared" si="1"/>
        <v>6</v>
      </c>
      <c r="U48" s="264" t="s">
        <v>158</v>
      </c>
      <c r="V48" s="252"/>
      <c r="W48" s="232"/>
      <c r="X48" s="232" t="s">
        <v>38</v>
      </c>
      <c r="Y48" s="235"/>
      <c r="Z48" s="235"/>
      <c r="AA48" s="232" t="s">
        <v>213</v>
      </c>
      <c r="AB48" s="214">
        <v>6</v>
      </c>
      <c r="AC48" s="214" t="s">
        <v>34</v>
      </c>
    </row>
    <row r="49" spans="1:29">
      <c r="A49" s="232" t="s">
        <v>214</v>
      </c>
      <c r="B49" s="235" t="s">
        <v>11</v>
      </c>
      <c r="C49" s="247" t="s">
        <v>215</v>
      </c>
      <c r="D49" s="232" t="s">
        <v>216</v>
      </c>
      <c r="E49" s="232"/>
      <c r="F49" s="232"/>
      <c r="G49" s="232"/>
      <c r="H49" s="232"/>
      <c r="I49" s="232"/>
      <c r="J49" s="232">
        <v>10</v>
      </c>
      <c r="K49" s="232"/>
      <c r="L49" s="232">
        <v>3</v>
      </c>
      <c r="M49" s="232">
        <v>2</v>
      </c>
      <c r="N49" s="232"/>
      <c r="O49" s="232">
        <v>1</v>
      </c>
      <c r="P49" s="232"/>
      <c r="Q49" s="232">
        <v>1</v>
      </c>
      <c r="R49" s="232">
        <v>3</v>
      </c>
      <c r="S49" s="232">
        <f t="shared" si="0"/>
        <v>10</v>
      </c>
      <c r="T49" s="232">
        <f t="shared" si="1"/>
        <v>6</v>
      </c>
      <c r="U49" s="233" t="s">
        <v>217</v>
      </c>
      <c r="V49" s="241"/>
      <c r="W49" s="232"/>
      <c r="X49" s="232" t="s">
        <v>38</v>
      </c>
      <c r="Y49" s="232" t="s">
        <v>218</v>
      </c>
      <c r="Z49" s="235"/>
      <c r="AA49" s="232" t="s">
        <v>33</v>
      </c>
      <c r="AB49" s="214">
        <v>6</v>
      </c>
      <c r="AC49" s="214" t="s">
        <v>34</v>
      </c>
    </row>
    <row r="50" spans="1:29">
      <c r="A50" s="232" t="s">
        <v>219</v>
      </c>
      <c r="B50" s="232" t="s">
        <v>8</v>
      </c>
      <c r="C50" s="255" t="s">
        <v>179</v>
      </c>
      <c r="D50" s="235" t="s">
        <v>220</v>
      </c>
      <c r="E50" s="235"/>
      <c r="F50" s="235"/>
      <c r="G50" s="235">
        <v>9</v>
      </c>
      <c r="H50" s="235"/>
      <c r="I50" s="235"/>
      <c r="J50" s="235">
        <v>9</v>
      </c>
      <c r="K50" s="235"/>
      <c r="L50" s="235">
        <v>3</v>
      </c>
      <c r="M50" s="235"/>
      <c r="N50" s="235">
        <v>2</v>
      </c>
      <c r="O50" s="235">
        <v>1</v>
      </c>
      <c r="P50" s="235">
        <v>1</v>
      </c>
      <c r="Q50" s="235">
        <v>1</v>
      </c>
      <c r="R50" s="235">
        <v>2</v>
      </c>
      <c r="S50" s="235">
        <f t="shared" si="0"/>
        <v>10</v>
      </c>
      <c r="T50" s="235">
        <f t="shared" si="1"/>
        <v>6</v>
      </c>
      <c r="U50" s="235" t="s">
        <v>221</v>
      </c>
      <c r="V50" s="241" t="s">
        <v>186</v>
      </c>
      <c r="W50" s="232" t="s">
        <v>38</v>
      </c>
      <c r="X50" s="232"/>
      <c r="Y50" s="232"/>
      <c r="Z50" s="235"/>
      <c r="AA50" s="232"/>
    </row>
    <row r="51" spans="1:29">
      <c r="A51" s="232" t="str">
        <f t="shared" ref="A51:A69" si="2">_xlfn.CONCAT(B51,C51)</f>
        <v>ICI3130</v>
      </c>
      <c r="B51" s="245" t="s">
        <v>7</v>
      </c>
      <c r="C51" s="246" t="s">
        <v>199</v>
      </c>
      <c r="D51" s="233" t="s">
        <v>222</v>
      </c>
      <c r="E51" s="232"/>
      <c r="F51" s="232">
        <v>5</v>
      </c>
      <c r="G51" s="232"/>
      <c r="H51" s="232"/>
      <c r="I51" s="232"/>
      <c r="J51" s="232"/>
      <c r="K51" s="232"/>
      <c r="L51" s="233">
        <v>3</v>
      </c>
      <c r="M51" s="233">
        <v>2</v>
      </c>
      <c r="N51" s="233"/>
      <c r="O51" s="233"/>
      <c r="P51" s="233">
        <v>1</v>
      </c>
      <c r="Q51" s="233">
        <v>1</v>
      </c>
      <c r="R51" s="233">
        <v>3</v>
      </c>
      <c r="S51" s="232">
        <f t="shared" si="0"/>
        <v>10</v>
      </c>
      <c r="T51" s="232">
        <f t="shared" si="1"/>
        <v>6</v>
      </c>
      <c r="U51" s="233" t="s">
        <v>85</v>
      </c>
      <c r="V51" s="252"/>
      <c r="W51" s="232" t="s">
        <v>38</v>
      </c>
      <c r="X51" s="232" t="s">
        <v>38</v>
      </c>
      <c r="Y51" s="232" t="s">
        <v>223</v>
      </c>
      <c r="Z51" s="235"/>
      <c r="AA51" s="232" t="s">
        <v>224</v>
      </c>
      <c r="AB51" s="214">
        <v>6</v>
      </c>
      <c r="AC51" s="214" t="s">
        <v>34</v>
      </c>
    </row>
    <row r="52" spans="1:29">
      <c r="A52" s="232" t="str">
        <f t="shared" si="2"/>
        <v>ICI3102</v>
      </c>
      <c r="B52" s="233" t="s">
        <v>7</v>
      </c>
      <c r="C52" s="234">
        <v>3102</v>
      </c>
      <c r="D52" s="250" t="s">
        <v>225</v>
      </c>
      <c r="E52" s="232"/>
      <c r="F52" s="232">
        <v>5</v>
      </c>
      <c r="G52" s="232"/>
      <c r="H52" s="232"/>
      <c r="I52" s="232"/>
      <c r="J52" s="232"/>
      <c r="K52" s="232">
        <v>5</v>
      </c>
      <c r="L52" s="233">
        <v>3</v>
      </c>
      <c r="M52" s="233"/>
      <c r="N52" s="233">
        <v>2</v>
      </c>
      <c r="O52" s="233">
        <v>1</v>
      </c>
      <c r="P52" s="233"/>
      <c r="Q52" s="233"/>
      <c r="R52" s="233">
        <v>4</v>
      </c>
      <c r="S52" s="232">
        <f t="shared" si="0"/>
        <v>10</v>
      </c>
      <c r="T52" s="232">
        <f t="shared" si="1"/>
        <v>6</v>
      </c>
      <c r="U52" s="233" t="s">
        <v>104</v>
      </c>
      <c r="V52" s="252" t="s">
        <v>156</v>
      </c>
      <c r="W52" s="232" t="s">
        <v>38</v>
      </c>
      <c r="X52" s="232" t="s">
        <v>38</v>
      </c>
      <c r="Y52" s="250" t="s">
        <v>225</v>
      </c>
      <c r="Z52" s="235"/>
      <c r="AA52" s="232" t="s">
        <v>33</v>
      </c>
      <c r="AB52" s="214">
        <v>6</v>
      </c>
      <c r="AC52" s="214" t="s">
        <v>34</v>
      </c>
    </row>
    <row r="53" spans="1:29">
      <c r="A53" s="232" t="str">
        <f t="shared" si="2"/>
        <v>ICI3101</v>
      </c>
      <c r="B53" s="233" t="s">
        <v>7</v>
      </c>
      <c r="C53" s="234">
        <v>3101</v>
      </c>
      <c r="D53" s="250" t="s">
        <v>226</v>
      </c>
      <c r="E53" s="232"/>
      <c r="F53" s="232">
        <v>5</v>
      </c>
      <c r="G53" s="232">
        <v>5</v>
      </c>
      <c r="H53" s="232"/>
      <c r="I53" s="232"/>
      <c r="J53" s="232"/>
      <c r="K53" s="232" t="s">
        <v>227</v>
      </c>
      <c r="L53" s="233">
        <v>3</v>
      </c>
      <c r="M53" s="233">
        <v>2</v>
      </c>
      <c r="N53" s="233"/>
      <c r="O53" s="233">
        <v>1</v>
      </c>
      <c r="P53" s="233"/>
      <c r="Q53" s="233"/>
      <c r="R53" s="233">
        <v>4</v>
      </c>
      <c r="S53" s="232">
        <f t="shared" si="0"/>
        <v>10</v>
      </c>
      <c r="T53" s="232">
        <f t="shared" si="1"/>
        <v>6</v>
      </c>
      <c r="U53" s="233" t="s">
        <v>77</v>
      </c>
      <c r="V53" s="252"/>
      <c r="W53" s="232" t="s">
        <v>38</v>
      </c>
      <c r="X53" s="232" t="s">
        <v>38</v>
      </c>
      <c r="Y53" s="250" t="s">
        <v>226</v>
      </c>
      <c r="Z53" s="235" t="s">
        <v>228</v>
      </c>
      <c r="AA53" s="232" t="s">
        <v>228</v>
      </c>
      <c r="AB53" s="214">
        <v>6</v>
      </c>
      <c r="AC53" s="214" t="s">
        <v>34</v>
      </c>
    </row>
    <row r="54" spans="1:29">
      <c r="A54" s="232" t="str">
        <f t="shared" si="2"/>
        <v>ICC3204</v>
      </c>
      <c r="B54" s="245" t="s">
        <v>10</v>
      </c>
      <c r="C54" s="246">
        <v>3204</v>
      </c>
      <c r="D54" s="233" t="s">
        <v>229</v>
      </c>
      <c r="E54" s="232"/>
      <c r="F54" s="232">
        <v>6</v>
      </c>
      <c r="G54" s="232"/>
      <c r="H54" s="232"/>
      <c r="I54" s="232">
        <v>5</v>
      </c>
      <c r="J54" s="232"/>
      <c r="K54" s="232" t="s">
        <v>227</v>
      </c>
      <c r="L54" s="233">
        <v>3</v>
      </c>
      <c r="M54" s="233"/>
      <c r="N54" s="233"/>
      <c r="O54" s="233">
        <v>3</v>
      </c>
      <c r="P54" s="233"/>
      <c r="Q54" s="233"/>
      <c r="R54" s="233">
        <v>4</v>
      </c>
      <c r="S54" s="232">
        <v>10</v>
      </c>
      <c r="T54" s="232">
        <v>6</v>
      </c>
      <c r="U54" s="233" t="s">
        <v>56</v>
      </c>
      <c r="V54" s="252"/>
      <c r="W54" s="232" t="s">
        <v>38</v>
      </c>
      <c r="X54" s="232" t="s">
        <v>38</v>
      </c>
      <c r="Y54" s="232"/>
      <c r="Z54" s="235" t="s">
        <v>230</v>
      </c>
      <c r="AA54" s="232" t="s">
        <v>230</v>
      </c>
      <c r="AB54" s="214">
        <v>6</v>
      </c>
      <c r="AC54" s="214" t="s">
        <v>34</v>
      </c>
    </row>
    <row r="55" spans="1:29">
      <c r="A55" s="232" t="str">
        <f t="shared" si="2"/>
        <v>ICI3204</v>
      </c>
      <c r="B55" s="235" t="s">
        <v>7</v>
      </c>
      <c r="C55" s="247">
        <v>3204</v>
      </c>
      <c r="D55" s="233" t="s">
        <v>231</v>
      </c>
      <c r="E55" s="232"/>
      <c r="F55" s="232">
        <v>6</v>
      </c>
      <c r="G55" s="232"/>
      <c r="H55" s="232"/>
      <c r="I55" s="232"/>
      <c r="J55" s="232"/>
      <c r="K55" s="232"/>
      <c r="L55" s="233">
        <v>3</v>
      </c>
      <c r="M55" s="233">
        <v>2</v>
      </c>
      <c r="N55" s="233"/>
      <c r="O55" s="233">
        <v>1</v>
      </c>
      <c r="P55" s="233"/>
      <c r="Q55" s="233"/>
      <c r="R55" s="233">
        <v>4</v>
      </c>
      <c r="S55" s="232">
        <f t="shared" ref="S55:S79" si="3">SUM(L55:R55)</f>
        <v>10</v>
      </c>
      <c r="T55" s="232">
        <f t="shared" ref="T55:T79" si="4">ROUND(S55*S$1/T$1,0)</f>
        <v>6</v>
      </c>
      <c r="U55" s="233" t="s">
        <v>85</v>
      </c>
      <c r="V55" s="252" t="s">
        <v>86</v>
      </c>
      <c r="W55" s="232" t="s">
        <v>38</v>
      </c>
      <c r="X55" s="232" t="s">
        <v>38</v>
      </c>
      <c r="Y55" s="233" t="s">
        <v>231</v>
      </c>
      <c r="Z55" s="235"/>
      <c r="AA55" s="233" t="s">
        <v>231</v>
      </c>
      <c r="AB55" s="214">
        <v>6</v>
      </c>
      <c r="AC55" s="214" t="s">
        <v>34</v>
      </c>
    </row>
    <row r="56" spans="1:29">
      <c r="A56" s="232" t="str">
        <f t="shared" si="2"/>
        <v>ICI3201</v>
      </c>
      <c r="B56" s="233" t="s">
        <v>7</v>
      </c>
      <c r="C56" s="234">
        <v>3201</v>
      </c>
      <c r="D56" s="242" t="s">
        <v>232</v>
      </c>
      <c r="E56" s="232"/>
      <c r="F56" s="232">
        <v>6</v>
      </c>
      <c r="G56" s="232"/>
      <c r="H56" s="232"/>
      <c r="I56" s="232"/>
      <c r="J56" s="232"/>
      <c r="K56" s="232">
        <v>7</v>
      </c>
      <c r="L56" s="233">
        <v>3</v>
      </c>
      <c r="M56" s="233">
        <v>2</v>
      </c>
      <c r="N56" s="233"/>
      <c r="O56" s="233">
        <v>1</v>
      </c>
      <c r="P56" s="233"/>
      <c r="Q56" s="233"/>
      <c r="R56" s="233">
        <v>4</v>
      </c>
      <c r="S56" s="232">
        <f t="shared" si="3"/>
        <v>10</v>
      </c>
      <c r="T56" s="232">
        <f t="shared" si="4"/>
        <v>6</v>
      </c>
      <c r="U56" s="233" t="s">
        <v>233</v>
      </c>
      <c r="V56" s="252"/>
      <c r="W56" s="232" t="s">
        <v>38</v>
      </c>
      <c r="X56" s="232" t="s">
        <v>38</v>
      </c>
      <c r="Y56" s="242" t="s">
        <v>232</v>
      </c>
      <c r="Z56" s="235"/>
      <c r="AA56" s="232" t="s">
        <v>232</v>
      </c>
      <c r="AB56" s="214">
        <v>6</v>
      </c>
      <c r="AC56" s="214" t="s">
        <v>34</v>
      </c>
    </row>
    <row r="57" spans="1:29">
      <c r="A57" s="232" t="str">
        <f t="shared" si="2"/>
        <v>ICI3202</v>
      </c>
      <c r="B57" s="240" t="s">
        <v>7</v>
      </c>
      <c r="C57" s="248">
        <v>3202</v>
      </c>
      <c r="D57" s="250" t="s">
        <v>234</v>
      </c>
      <c r="E57" s="232"/>
      <c r="F57" s="232">
        <v>6</v>
      </c>
      <c r="G57" s="232"/>
      <c r="H57" s="232"/>
      <c r="I57" s="232"/>
      <c r="J57" s="232"/>
      <c r="K57" s="232" t="s">
        <v>227</v>
      </c>
      <c r="L57" s="233">
        <v>3</v>
      </c>
      <c r="M57" s="233">
        <v>2</v>
      </c>
      <c r="N57" s="233"/>
      <c r="O57" s="233">
        <v>1</v>
      </c>
      <c r="P57" s="233"/>
      <c r="Q57" s="233"/>
      <c r="R57" s="233">
        <v>4</v>
      </c>
      <c r="S57" s="232">
        <f t="shared" si="3"/>
        <v>10</v>
      </c>
      <c r="T57" s="232">
        <f t="shared" si="4"/>
        <v>6</v>
      </c>
      <c r="U57" s="233" t="s">
        <v>235</v>
      </c>
      <c r="V57" s="252"/>
      <c r="W57" s="232" t="s">
        <v>38</v>
      </c>
      <c r="X57" s="232" t="s">
        <v>38</v>
      </c>
      <c r="Y57" s="250" t="s">
        <v>234</v>
      </c>
      <c r="Z57" s="235"/>
      <c r="AA57" s="233" t="s">
        <v>234</v>
      </c>
      <c r="AB57" s="214">
        <v>6</v>
      </c>
      <c r="AC57" s="214" t="s">
        <v>34</v>
      </c>
    </row>
    <row r="58" spans="1:29">
      <c r="A58" s="232" t="str">
        <f t="shared" si="2"/>
        <v>ICI4110</v>
      </c>
      <c r="B58" s="232" t="s">
        <v>7</v>
      </c>
      <c r="C58" s="255" t="s">
        <v>148</v>
      </c>
      <c r="D58" s="232" t="s">
        <v>236</v>
      </c>
      <c r="E58" s="232"/>
      <c r="F58" s="232">
        <v>7</v>
      </c>
      <c r="G58" s="232"/>
      <c r="H58" s="232"/>
      <c r="I58" s="232"/>
      <c r="J58" s="232"/>
      <c r="K58" s="232"/>
      <c r="L58" s="232">
        <v>3</v>
      </c>
      <c r="M58" s="232">
        <v>2</v>
      </c>
      <c r="N58" s="232"/>
      <c r="O58" s="232">
        <v>2</v>
      </c>
      <c r="P58" s="232"/>
      <c r="Q58" s="232"/>
      <c r="R58" s="232">
        <v>3</v>
      </c>
      <c r="S58" s="232">
        <f t="shared" si="3"/>
        <v>10</v>
      </c>
      <c r="T58" s="232">
        <f t="shared" si="4"/>
        <v>6</v>
      </c>
      <c r="U58" s="232" t="s">
        <v>225</v>
      </c>
      <c r="V58" s="241" t="s">
        <v>135</v>
      </c>
      <c r="W58" s="232" t="s">
        <v>38</v>
      </c>
      <c r="X58" s="232" t="s">
        <v>38</v>
      </c>
      <c r="Y58" s="232" t="s">
        <v>236</v>
      </c>
      <c r="Z58" s="235"/>
      <c r="AA58" s="232" t="s">
        <v>237</v>
      </c>
      <c r="AB58" s="214">
        <v>6</v>
      </c>
      <c r="AC58" s="214" t="s">
        <v>34</v>
      </c>
    </row>
    <row r="59" spans="1:29">
      <c r="A59" s="232" t="str">
        <f t="shared" si="2"/>
        <v>ICI4120</v>
      </c>
      <c r="B59" s="233" t="s">
        <v>7</v>
      </c>
      <c r="C59" s="234" t="s">
        <v>238</v>
      </c>
      <c r="D59" s="233" t="s">
        <v>239</v>
      </c>
      <c r="E59" s="232"/>
      <c r="F59" s="232">
        <v>7</v>
      </c>
      <c r="G59" s="232"/>
      <c r="H59" s="232"/>
      <c r="I59" s="232"/>
      <c r="J59" s="232"/>
      <c r="K59" s="232"/>
      <c r="L59" s="233">
        <v>2</v>
      </c>
      <c r="M59" s="233">
        <v>2</v>
      </c>
      <c r="N59" s="233"/>
      <c r="O59" s="233"/>
      <c r="P59" s="233"/>
      <c r="Q59" s="233">
        <v>2</v>
      </c>
      <c r="R59" s="233">
        <v>4</v>
      </c>
      <c r="S59" s="232">
        <f t="shared" si="3"/>
        <v>10</v>
      </c>
      <c r="T59" s="232">
        <f t="shared" si="4"/>
        <v>6</v>
      </c>
      <c r="U59" s="233" t="s">
        <v>222</v>
      </c>
      <c r="V59" s="252"/>
      <c r="W59" s="232" t="s">
        <v>38</v>
      </c>
      <c r="X59" s="232" t="s">
        <v>38</v>
      </c>
      <c r="Y59" s="232" t="s">
        <v>240</v>
      </c>
      <c r="Z59" s="235"/>
      <c r="AA59" s="233" t="s">
        <v>240</v>
      </c>
      <c r="AB59" s="214">
        <v>6</v>
      </c>
      <c r="AC59" s="214" t="s">
        <v>34</v>
      </c>
    </row>
    <row r="60" spans="1:29">
      <c r="A60" s="232" t="str">
        <f t="shared" si="2"/>
        <v>ICI4202</v>
      </c>
      <c r="B60" s="233" t="s">
        <v>7</v>
      </c>
      <c r="C60" s="234">
        <v>4202</v>
      </c>
      <c r="D60" s="233" t="s">
        <v>241</v>
      </c>
      <c r="E60" s="232"/>
      <c r="F60" s="232">
        <v>7</v>
      </c>
      <c r="G60" s="232"/>
      <c r="H60" s="232"/>
      <c r="I60" s="232"/>
      <c r="J60" s="232"/>
      <c r="K60" s="232"/>
      <c r="L60" s="233">
        <v>3</v>
      </c>
      <c r="M60" s="233"/>
      <c r="N60" s="233">
        <v>2</v>
      </c>
      <c r="O60" s="233">
        <v>2</v>
      </c>
      <c r="P60" s="233"/>
      <c r="Q60" s="233"/>
      <c r="R60" s="233">
        <v>3</v>
      </c>
      <c r="S60" s="232">
        <f t="shared" si="3"/>
        <v>10</v>
      </c>
      <c r="T60" s="232">
        <f t="shared" si="4"/>
        <v>6</v>
      </c>
      <c r="U60" s="233" t="s">
        <v>242</v>
      </c>
      <c r="V60" s="252"/>
      <c r="W60" s="232" t="s">
        <v>38</v>
      </c>
      <c r="X60" s="232" t="s">
        <v>38</v>
      </c>
      <c r="Y60" s="233" t="s">
        <v>241</v>
      </c>
      <c r="Z60" s="235"/>
      <c r="AA60" s="233" t="s">
        <v>241</v>
      </c>
      <c r="AB60" s="214">
        <v>0</v>
      </c>
      <c r="AC60" s="214" t="s">
        <v>42</v>
      </c>
    </row>
    <row r="61" spans="1:29">
      <c r="A61" s="232" t="str">
        <f t="shared" si="2"/>
        <v>ICI4210</v>
      </c>
      <c r="B61" s="245" t="s">
        <v>7</v>
      </c>
      <c r="C61" s="246" t="s">
        <v>195</v>
      </c>
      <c r="D61" s="245" t="s">
        <v>243</v>
      </c>
      <c r="E61" s="235"/>
      <c r="F61" s="235">
        <v>8</v>
      </c>
      <c r="G61" s="235"/>
      <c r="H61" s="235"/>
      <c r="I61" s="235"/>
      <c r="J61" s="235"/>
      <c r="K61" s="235"/>
      <c r="L61" s="235">
        <v>3</v>
      </c>
      <c r="M61" s="235"/>
      <c r="N61" s="235"/>
      <c r="O61" s="235">
        <v>5</v>
      </c>
      <c r="P61" s="235">
        <v>3</v>
      </c>
      <c r="Q61" s="235">
        <v>1</v>
      </c>
      <c r="R61" s="235">
        <v>3</v>
      </c>
      <c r="S61" s="235">
        <f t="shared" si="3"/>
        <v>15</v>
      </c>
      <c r="T61" s="232">
        <f t="shared" si="4"/>
        <v>9</v>
      </c>
      <c r="U61" s="245" t="s">
        <v>244</v>
      </c>
      <c r="V61" s="262" t="s">
        <v>156</v>
      </c>
      <c r="W61" s="232" t="s">
        <v>38</v>
      </c>
      <c r="X61" s="232" t="s">
        <v>38</v>
      </c>
      <c r="Y61" s="245" t="s">
        <v>243</v>
      </c>
      <c r="Z61" s="235"/>
      <c r="AA61" s="235" t="s">
        <v>245</v>
      </c>
      <c r="AB61" s="214">
        <v>9</v>
      </c>
      <c r="AC61" s="214" t="s">
        <v>34</v>
      </c>
    </row>
    <row r="62" spans="1:29">
      <c r="A62" s="232" t="str">
        <f t="shared" si="2"/>
        <v>ICI4230</v>
      </c>
      <c r="B62" s="233" t="s">
        <v>7</v>
      </c>
      <c r="C62" s="234" t="s">
        <v>246</v>
      </c>
      <c r="D62" s="232" t="s">
        <v>247</v>
      </c>
      <c r="E62" s="232"/>
      <c r="F62" s="232">
        <v>8</v>
      </c>
      <c r="G62" s="232"/>
      <c r="H62" s="232"/>
      <c r="I62" s="232"/>
      <c r="J62" s="232"/>
      <c r="K62" s="232"/>
      <c r="L62" s="232">
        <v>3</v>
      </c>
      <c r="M62" s="232">
        <v>2</v>
      </c>
      <c r="N62" s="232"/>
      <c r="O62" s="232">
        <v>2</v>
      </c>
      <c r="P62" s="232"/>
      <c r="Q62" s="232"/>
      <c r="R62" s="232">
        <v>3</v>
      </c>
      <c r="S62" s="232">
        <f t="shared" si="3"/>
        <v>10</v>
      </c>
      <c r="T62" s="232">
        <f t="shared" si="4"/>
        <v>6</v>
      </c>
      <c r="U62" s="232" t="s">
        <v>239</v>
      </c>
      <c r="V62" s="241" t="s">
        <v>156</v>
      </c>
      <c r="W62" s="232" t="s">
        <v>38</v>
      </c>
      <c r="X62" s="232" t="s">
        <v>38</v>
      </c>
      <c r="Y62" s="232" t="s">
        <v>248</v>
      </c>
      <c r="Z62" s="235"/>
      <c r="AA62" s="232" t="s">
        <v>248</v>
      </c>
      <c r="AB62" s="214">
        <v>6</v>
      </c>
      <c r="AC62" s="214" t="s">
        <v>34</v>
      </c>
    </row>
    <row r="63" spans="1:29">
      <c r="A63" s="232" t="str">
        <f t="shared" si="2"/>
        <v>ICI4220</v>
      </c>
      <c r="B63" s="245" t="s">
        <v>7</v>
      </c>
      <c r="C63" s="246" t="s">
        <v>249</v>
      </c>
      <c r="D63" s="250" t="s">
        <v>250</v>
      </c>
      <c r="E63" s="232"/>
      <c r="F63" s="232">
        <v>8</v>
      </c>
      <c r="G63" s="232"/>
      <c r="H63" s="232"/>
      <c r="I63" s="232"/>
      <c r="J63" s="232"/>
      <c r="K63" s="232"/>
      <c r="L63" s="233">
        <v>3</v>
      </c>
      <c r="M63" s="233">
        <v>2</v>
      </c>
      <c r="N63" s="233"/>
      <c r="O63" s="233">
        <v>1</v>
      </c>
      <c r="P63" s="233">
        <v>1</v>
      </c>
      <c r="Q63" s="233">
        <v>1</v>
      </c>
      <c r="R63" s="233">
        <v>2</v>
      </c>
      <c r="S63" s="232">
        <f t="shared" si="3"/>
        <v>10</v>
      </c>
      <c r="T63" s="232">
        <f t="shared" si="4"/>
        <v>6</v>
      </c>
      <c r="U63" s="233" t="s">
        <v>251</v>
      </c>
      <c r="V63" s="252" t="s">
        <v>135</v>
      </c>
      <c r="W63" s="232" t="s">
        <v>38</v>
      </c>
      <c r="X63" s="232" t="s">
        <v>38</v>
      </c>
      <c r="Y63" s="250" t="s">
        <v>250</v>
      </c>
      <c r="Z63" s="235"/>
      <c r="AA63" s="232" t="s">
        <v>250</v>
      </c>
      <c r="AB63" s="214">
        <v>6</v>
      </c>
      <c r="AC63" s="214" t="s">
        <v>34</v>
      </c>
    </row>
    <row r="64" spans="1:29">
      <c r="A64" s="232" t="str">
        <f t="shared" si="2"/>
        <v>ICI4203</v>
      </c>
      <c r="B64" s="233" t="s">
        <v>7</v>
      </c>
      <c r="C64" s="234">
        <v>4203</v>
      </c>
      <c r="D64" s="233" t="s">
        <v>252</v>
      </c>
      <c r="E64" s="232"/>
      <c r="F64" s="232">
        <v>8</v>
      </c>
      <c r="G64" s="232"/>
      <c r="H64" s="232"/>
      <c r="I64" s="232"/>
      <c r="J64" s="232"/>
      <c r="K64" s="232"/>
      <c r="L64" s="233">
        <v>3</v>
      </c>
      <c r="M64" s="233">
        <v>2</v>
      </c>
      <c r="N64" s="233"/>
      <c r="O64" s="233">
        <v>1</v>
      </c>
      <c r="P64" s="233"/>
      <c r="Q64" s="233">
        <v>1</v>
      </c>
      <c r="R64" s="233">
        <v>3</v>
      </c>
      <c r="S64" s="232">
        <f t="shared" si="3"/>
        <v>10</v>
      </c>
      <c r="T64" s="232">
        <f t="shared" si="4"/>
        <v>6</v>
      </c>
      <c r="U64" s="233" t="s">
        <v>85</v>
      </c>
      <c r="V64" s="252"/>
      <c r="W64" s="232" t="s">
        <v>38</v>
      </c>
      <c r="X64" s="232" t="s">
        <v>38</v>
      </c>
      <c r="Y64" s="233" t="s">
        <v>252</v>
      </c>
      <c r="Z64" s="235"/>
      <c r="AA64" s="233" t="s">
        <v>252</v>
      </c>
      <c r="AB64" s="214">
        <v>6</v>
      </c>
      <c r="AC64" s="214" t="s">
        <v>34</v>
      </c>
    </row>
    <row r="65" spans="1:29">
      <c r="A65" s="232" t="str">
        <f t="shared" si="2"/>
        <v>ICI5130</v>
      </c>
      <c r="B65" s="245" t="s">
        <v>7</v>
      </c>
      <c r="C65" s="246" t="s">
        <v>253</v>
      </c>
      <c r="D65" s="232" t="s">
        <v>254</v>
      </c>
      <c r="E65" s="232"/>
      <c r="F65" s="232">
        <v>9</v>
      </c>
      <c r="G65" s="232"/>
      <c r="H65" s="232"/>
      <c r="I65" s="232"/>
      <c r="J65" s="232"/>
      <c r="K65" s="232"/>
      <c r="L65" s="232">
        <v>3</v>
      </c>
      <c r="M65" s="232">
        <v>2</v>
      </c>
      <c r="N65" s="232"/>
      <c r="O65" s="232">
        <v>2</v>
      </c>
      <c r="P65" s="232">
        <v>1</v>
      </c>
      <c r="Q65" s="232"/>
      <c r="R65" s="232">
        <v>2</v>
      </c>
      <c r="S65" s="232">
        <f t="shared" si="3"/>
        <v>10</v>
      </c>
      <c r="T65" s="232">
        <f t="shared" si="4"/>
        <v>6</v>
      </c>
      <c r="U65" s="232" t="s">
        <v>250</v>
      </c>
      <c r="V65" s="241" t="s">
        <v>114</v>
      </c>
      <c r="W65" s="232" t="s">
        <v>38</v>
      </c>
      <c r="X65" s="232" t="s">
        <v>38</v>
      </c>
      <c r="Y65" s="232" t="s">
        <v>254</v>
      </c>
      <c r="Z65" s="235"/>
      <c r="AA65" s="232" t="s">
        <v>255</v>
      </c>
      <c r="AB65" s="214">
        <v>6</v>
      </c>
      <c r="AC65" s="214" t="s">
        <v>34</v>
      </c>
    </row>
    <row r="66" spans="1:29">
      <c r="A66" s="232" t="str">
        <f t="shared" si="2"/>
        <v>ICI5120</v>
      </c>
      <c r="B66" s="245" t="s">
        <v>7</v>
      </c>
      <c r="C66" s="246" t="s">
        <v>111</v>
      </c>
      <c r="D66" s="233" t="s">
        <v>256</v>
      </c>
      <c r="E66" s="232"/>
      <c r="F66" s="232">
        <v>9</v>
      </c>
      <c r="G66" s="232"/>
      <c r="H66" s="232"/>
      <c r="I66" s="232"/>
      <c r="J66" s="232"/>
      <c r="K66" s="232"/>
      <c r="L66" s="233">
        <v>3</v>
      </c>
      <c r="M66" s="233"/>
      <c r="N66" s="233"/>
      <c r="O66" s="233">
        <v>2</v>
      </c>
      <c r="P66" s="233">
        <v>1</v>
      </c>
      <c r="Q66" s="233">
        <v>1</v>
      </c>
      <c r="R66" s="233">
        <v>3</v>
      </c>
      <c r="S66" s="232">
        <f t="shared" si="3"/>
        <v>10</v>
      </c>
      <c r="T66" s="232">
        <f t="shared" si="4"/>
        <v>6</v>
      </c>
      <c r="U66" s="233" t="s">
        <v>236</v>
      </c>
      <c r="V66" s="252" t="s">
        <v>257</v>
      </c>
      <c r="W66" s="232" t="s">
        <v>38</v>
      </c>
      <c r="X66" s="232" t="s">
        <v>38</v>
      </c>
      <c r="Y66" s="233" t="s">
        <v>256</v>
      </c>
      <c r="Z66" s="235"/>
      <c r="AA66" s="233" t="s">
        <v>256</v>
      </c>
      <c r="AB66" s="214">
        <v>6</v>
      </c>
      <c r="AC66" s="214" t="s">
        <v>34</v>
      </c>
    </row>
    <row r="67" spans="1:29">
      <c r="A67" s="232" t="str">
        <f t="shared" si="2"/>
        <v>ICI5110</v>
      </c>
      <c r="B67" s="235" t="s">
        <v>7</v>
      </c>
      <c r="C67" s="247" t="s">
        <v>258</v>
      </c>
      <c r="D67" s="232" t="s">
        <v>259</v>
      </c>
      <c r="E67" s="232"/>
      <c r="F67" s="232">
        <v>9</v>
      </c>
      <c r="G67" s="232"/>
      <c r="H67" s="232"/>
      <c r="I67" s="232"/>
      <c r="J67" s="232"/>
      <c r="K67" s="232"/>
      <c r="L67" s="232">
        <v>3</v>
      </c>
      <c r="M67" s="232">
        <v>2</v>
      </c>
      <c r="N67" s="232"/>
      <c r="O67" s="232">
        <v>1</v>
      </c>
      <c r="P67" s="232"/>
      <c r="Q67" s="232"/>
      <c r="R67" s="232">
        <v>4</v>
      </c>
      <c r="S67" s="232">
        <f t="shared" si="3"/>
        <v>10</v>
      </c>
      <c r="T67" s="232">
        <f t="shared" si="4"/>
        <v>6</v>
      </c>
      <c r="U67" s="232" t="s">
        <v>231</v>
      </c>
      <c r="V67" s="241"/>
      <c r="W67" s="232" t="s">
        <v>38</v>
      </c>
      <c r="X67" s="232" t="s">
        <v>38</v>
      </c>
      <c r="Y67" s="232" t="s">
        <v>259</v>
      </c>
      <c r="Z67" s="235"/>
      <c r="AA67" s="232" t="s">
        <v>259</v>
      </c>
      <c r="AB67" s="214">
        <v>6</v>
      </c>
      <c r="AC67" s="214" t="s">
        <v>34</v>
      </c>
    </row>
    <row r="68" spans="1:29">
      <c r="A68" s="232" t="str">
        <f t="shared" si="2"/>
        <v>ICI5220</v>
      </c>
      <c r="B68" s="235" t="s">
        <v>7</v>
      </c>
      <c r="C68" s="247" t="s">
        <v>215</v>
      </c>
      <c r="D68" s="233" t="s">
        <v>260</v>
      </c>
      <c r="E68" s="232"/>
      <c r="F68" s="232">
        <v>10</v>
      </c>
      <c r="G68" s="232"/>
      <c r="H68" s="232"/>
      <c r="I68" s="232"/>
      <c r="J68" s="232"/>
      <c r="K68" s="232"/>
      <c r="L68" s="233">
        <v>3</v>
      </c>
      <c r="M68" s="233"/>
      <c r="N68" s="233"/>
      <c r="O68" s="233">
        <v>2</v>
      </c>
      <c r="P68" s="233">
        <v>1</v>
      </c>
      <c r="Q68" s="233">
        <v>1</v>
      </c>
      <c r="R68" s="233">
        <v>3</v>
      </c>
      <c r="S68" s="232">
        <f t="shared" si="3"/>
        <v>10</v>
      </c>
      <c r="T68" s="232">
        <f t="shared" si="4"/>
        <v>6</v>
      </c>
      <c r="U68" s="232" t="s">
        <v>243</v>
      </c>
      <c r="V68" s="252"/>
      <c r="W68" s="232" t="s">
        <v>38</v>
      </c>
      <c r="X68" s="232" t="s">
        <v>38</v>
      </c>
      <c r="Y68" s="233" t="s">
        <v>260</v>
      </c>
      <c r="Z68" s="235"/>
      <c r="AA68" s="242" t="s">
        <v>261</v>
      </c>
      <c r="AB68" s="214">
        <v>6</v>
      </c>
      <c r="AC68" s="214" t="s">
        <v>34</v>
      </c>
    </row>
    <row r="69" spans="1:29">
      <c r="A69" s="232" t="str">
        <f t="shared" si="2"/>
        <v>ICI5210</v>
      </c>
      <c r="B69" s="245" t="s">
        <v>7</v>
      </c>
      <c r="C69" s="246" t="s">
        <v>262</v>
      </c>
      <c r="D69" s="232" t="s">
        <v>263</v>
      </c>
      <c r="E69" s="232"/>
      <c r="F69" s="232">
        <v>10</v>
      </c>
      <c r="G69" s="232"/>
      <c r="H69" s="232"/>
      <c r="I69" s="232"/>
      <c r="J69" s="232"/>
      <c r="K69" s="232"/>
      <c r="L69" s="232">
        <v>3</v>
      </c>
      <c r="M69" s="232"/>
      <c r="N69" s="232"/>
      <c r="O69" s="232">
        <v>2</v>
      </c>
      <c r="P69" s="232">
        <v>1</v>
      </c>
      <c r="Q69" s="232">
        <v>2</v>
      </c>
      <c r="R69" s="232">
        <v>2</v>
      </c>
      <c r="S69" s="232">
        <f t="shared" si="3"/>
        <v>10</v>
      </c>
      <c r="T69" s="232">
        <f t="shared" si="4"/>
        <v>6</v>
      </c>
      <c r="U69" s="232" t="s">
        <v>243</v>
      </c>
      <c r="V69" s="241" t="s">
        <v>264</v>
      </c>
      <c r="W69" s="232" t="s">
        <v>38</v>
      </c>
      <c r="X69" s="232" t="s">
        <v>38</v>
      </c>
      <c r="Y69" s="232" t="s">
        <v>263</v>
      </c>
      <c r="Z69" s="235"/>
      <c r="AA69" s="232" t="s">
        <v>263</v>
      </c>
      <c r="AB69" s="214">
        <v>6</v>
      </c>
      <c r="AC69" s="214" t="s">
        <v>34</v>
      </c>
    </row>
    <row r="70" spans="1:29">
      <c r="A70" s="232" t="s">
        <v>265</v>
      </c>
      <c r="B70" s="233" t="s">
        <v>7</v>
      </c>
      <c r="C70" s="234" t="s">
        <v>266</v>
      </c>
      <c r="D70" s="233" t="s">
        <v>267</v>
      </c>
      <c r="E70" s="232"/>
      <c r="F70" s="232" t="s">
        <v>268</v>
      </c>
      <c r="G70" s="232"/>
      <c r="H70" s="232"/>
      <c r="I70" s="232"/>
      <c r="J70" s="232"/>
      <c r="K70" s="232"/>
      <c r="L70" s="232">
        <v>2</v>
      </c>
      <c r="M70" s="232"/>
      <c r="N70" s="232">
        <v>1</v>
      </c>
      <c r="O70" s="232">
        <v>2</v>
      </c>
      <c r="P70" s="232">
        <v>1</v>
      </c>
      <c r="Q70" s="232">
        <v>1</v>
      </c>
      <c r="R70" s="232">
        <v>3</v>
      </c>
      <c r="S70" s="232">
        <f t="shared" si="3"/>
        <v>10</v>
      </c>
      <c r="T70" s="232">
        <f t="shared" si="4"/>
        <v>6</v>
      </c>
      <c r="U70" s="232" t="s">
        <v>269</v>
      </c>
      <c r="V70" s="241"/>
      <c r="W70" s="232"/>
      <c r="X70" s="232" t="s">
        <v>38</v>
      </c>
      <c r="Y70" s="232" t="s">
        <v>270</v>
      </c>
      <c r="Z70" s="235"/>
      <c r="AA70" s="232"/>
    </row>
    <row r="71" spans="1:29">
      <c r="A71" s="232" t="s">
        <v>271</v>
      </c>
      <c r="B71" s="235" t="s">
        <v>7</v>
      </c>
      <c r="C71" s="247" t="s">
        <v>272</v>
      </c>
      <c r="D71" s="232" t="s">
        <v>273</v>
      </c>
      <c r="E71" s="232"/>
      <c r="F71" s="232" t="s">
        <v>274</v>
      </c>
      <c r="G71" s="232"/>
      <c r="H71" s="232"/>
      <c r="I71" s="232"/>
      <c r="J71" s="232"/>
      <c r="K71" s="232"/>
      <c r="L71" s="232">
        <v>3</v>
      </c>
      <c r="M71" s="232"/>
      <c r="N71" s="232"/>
      <c r="O71" s="232">
        <v>2</v>
      </c>
      <c r="P71" s="232">
        <v>1</v>
      </c>
      <c r="Q71" s="232">
        <v>1</v>
      </c>
      <c r="R71" s="232">
        <v>3</v>
      </c>
      <c r="S71" s="232">
        <f t="shared" si="3"/>
        <v>10</v>
      </c>
      <c r="T71" s="232">
        <f t="shared" si="4"/>
        <v>6</v>
      </c>
      <c r="U71" s="232" t="s">
        <v>247</v>
      </c>
      <c r="V71" s="241"/>
      <c r="W71" s="232"/>
      <c r="X71" s="232" t="s">
        <v>38</v>
      </c>
      <c r="Y71" s="232" t="s">
        <v>275</v>
      </c>
      <c r="Z71" s="235"/>
      <c r="AA71" s="232" t="s">
        <v>275</v>
      </c>
      <c r="AB71" s="214">
        <v>6</v>
      </c>
      <c r="AC71" s="214" t="s">
        <v>34</v>
      </c>
    </row>
    <row r="72" spans="1:29">
      <c r="A72" s="232" t="str">
        <f t="shared" ref="A72:A78" si="5">_xlfn.CONCAT(B72,C72)</f>
        <v>ICI5020</v>
      </c>
      <c r="B72" s="235" t="s">
        <v>7</v>
      </c>
      <c r="C72" s="247" t="s">
        <v>276</v>
      </c>
      <c r="D72" s="232" t="s">
        <v>277</v>
      </c>
      <c r="E72" s="232"/>
      <c r="F72" s="232" t="s">
        <v>278</v>
      </c>
      <c r="G72" s="232"/>
      <c r="H72" s="232"/>
      <c r="I72" s="232"/>
      <c r="J72" s="232"/>
      <c r="K72" s="232"/>
      <c r="L72" s="232">
        <v>3</v>
      </c>
      <c r="M72" s="232"/>
      <c r="N72" s="232"/>
      <c r="O72" s="232">
        <v>2</v>
      </c>
      <c r="P72" s="232">
        <v>1</v>
      </c>
      <c r="Q72" s="232">
        <v>1</v>
      </c>
      <c r="R72" s="232">
        <v>3</v>
      </c>
      <c r="S72" s="232">
        <f t="shared" si="3"/>
        <v>10</v>
      </c>
      <c r="T72" s="232">
        <f t="shared" si="4"/>
        <v>6</v>
      </c>
      <c r="U72" s="232" t="s">
        <v>250</v>
      </c>
      <c r="V72" s="241"/>
      <c r="W72" s="232"/>
      <c r="X72" s="232" t="s">
        <v>38</v>
      </c>
      <c r="Y72" s="232" t="s">
        <v>279</v>
      </c>
      <c r="Z72" s="235"/>
      <c r="AA72" s="232" t="s">
        <v>280</v>
      </c>
      <c r="AB72" s="214">
        <v>6</v>
      </c>
      <c r="AC72" s="214" t="s">
        <v>34</v>
      </c>
    </row>
    <row r="73" spans="1:29">
      <c r="A73" s="232" t="str">
        <f t="shared" si="5"/>
        <v>ICI6100</v>
      </c>
      <c r="B73" s="233" t="s">
        <v>7</v>
      </c>
      <c r="C73" s="234" t="s">
        <v>281</v>
      </c>
      <c r="D73" s="233" t="s">
        <v>282</v>
      </c>
      <c r="E73" s="232"/>
      <c r="F73" s="232" t="s">
        <v>283</v>
      </c>
      <c r="G73" s="232"/>
      <c r="H73" s="232"/>
      <c r="I73" s="232"/>
      <c r="J73" s="232"/>
      <c r="K73" s="232"/>
      <c r="L73" s="232">
        <v>2</v>
      </c>
      <c r="M73" s="232"/>
      <c r="N73" s="232"/>
      <c r="O73" s="232">
        <v>2</v>
      </c>
      <c r="P73" s="232"/>
      <c r="Q73" s="232">
        <v>2</v>
      </c>
      <c r="R73" s="232">
        <v>4</v>
      </c>
      <c r="S73" s="232">
        <f t="shared" si="3"/>
        <v>10</v>
      </c>
      <c r="T73" s="232">
        <f t="shared" si="4"/>
        <v>6</v>
      </c>
      <c r="U73" s="232" t="s">
        <v>284</v>
      </c>
      <c r="V73" s="241" t="s">
        <v>186</v>
      </c>
      <c r="W73" s="232" t="s">
        <v>38</v>
      </c>
      <c r="X73" s="232"/>
      <c r="Y73" s="233" t="s">
        <v>285</v>
      </c>
      <c r="Z73" s="235"/>
      <c r="AA73" s="232" t="s">
        <v>286</v>
      </c>
      <c r="AB73" s="214">
        <v>6</v>
      </c>
      <c r="AC73" s="214" t="s">
        <v>34</v>
      </c>
    </row>
    <row r="74" spans="1:29">
      <c r="A74" s="232" t="str">
        <f t="shared" si="5"/>
        <v>ICI6010</v>
      </c>
      <c r="B74" s="235" t="s">
        <v>7</v>
      </c>
      <c r="C74" s="247" t="s">
        <v>287</v>
      </c>
      <c r="D74" s="232" t="s">
        <v>288</v>
      </c>
      <c r="E74" s="232"/>
      <c r="F74" s="232" t="s">
        <v>289</v>
      </c>
      <c r="G74" s="232"/>
      <c r="H74" s="232"/>
      <c r="I74" s="232"/>
      <c r="J74" s="232"/>
      <c r="K74" s="232"/>
      <c r="L74" s="232">
        <v>2</v>
      </c>
      <c r="M74" s="232"/>
      <c r="N74" s="232"/>
      <c r="O74" s="232">
        <v>1</v>
      </c>
      <c r="P74" s="232">
        <v>1</v>
      </c>
      <c r="Q74" s="232">
        <v>3</v>
      </c>
      <c r="R74" s="232">
        <v>3</v>
      </c>
      <c r="S74" s="232">
        <f t="shared" si="3"/>
        <v>10</v>
      </c>
      <c r="T74" s="232">
        <f t="shared" si="4"/>
        <v>6</v>
      </c>
      <c r="U74" s="232" t="s">
        <v>247</v>
      </c>
      <c r="V74" s="241" t="s">
        <v>186</v>
      </c>
      <c r="W74" s="232" t="s">
        <v>38</v>
      </c>
      <c r="X74" s="232"/>
      <c r="Y74" s="232" t="s">
        <v>290</v>
      </c>
      <c r="Z74" s="235"/>
      <c r="AA74" s="232" t="s">
        <v>290</v>
      </c>
      <c r="AB74" s="214">
        <v>6</v>
      </c>
      <c r="AC74" s="214" t="s">
        <v>34</v>
      </c>
    </row>
    <row r="75" spans="1:29">
      <c r="A75" s="232" t="str">
        <f t="shared" si="5"/>
        <v>ICI3000</v>
      </c>
      <c r="B75" s="232" t="s">
        <v>7</v>
      </c>
      <c r="C75" s="255">
        <v>3000</v>
      </c>
      <c r="D75" s="232" t="s">
        <v>291</v>
      </c>
      <c r="E75" s="232"/>
      <c r="F75" s="232" t="s">
        <v>292</v>
      </c>
      <c r="G75" s="232"/>
      <c r="H75" s="232"/>
      <c r="I75" s="232"/>
      <c r="J75" s="232"/>
      <c r="K75" s="232"/>
      <c r="L75" s="232">
        <v>2</v>
      </c>
      <c r="M75" s="232"/>
      <c r="N75" s="232"/>
      <c r="O75" s="232">
        <v>6</v>
      </c>
      <c r="P75" s="232">
        <v>1</v>
      </c>
      <c r="Q75" s="232"/>
      <c r="R75" s="232">
        <v>1</v>
      </c>
      <c r="S75" s="232">
        <f t="shared" si="3"/>
        <v>10</v>
      </c>
      <c r="T75" s="232">
        <f t="shared" si="4"/>
        <v>6</v>
      </c>
      <c r="U75" s="232" t="s">
        <v>293</v>
      </c>
      <c r="V75" s="241" t="s">
        <v>186</v>
      </c>
      <c r="W75" s="232" t="s">
        <v>38</v>
      </c>
      <c r="X75" s="232"/>
      <c r="Y75" s="232" t="s">
        <v>291</v>
      </c>
      <c r="Z75" s="235"/>
      <c r="AA75" s="232" t="s">
        <v>291</v>
      </c>
      <c r="AB75" s="214">
        <v>6</v>
      </c>
      <c r="AC75" s="214" t="s">
        <v>34</v>
      </c>
    </row>
    <row r="76" spans="1:29">
      <c r="A76" s="232" t="str">
        <f t="shared" si="5"/>
        <v>ICI5000</v>
      </c>
      <c r="B76" s="245" t="s">
        <v>7</v>
      </c>
      <c r="C76" s="246" t="s">
        <v>294</v>
      </c>
      <c r="D76" s="250" t="s">
        <v>295</v>
      </c>
      <c r="E76" s="232"/>
      <c r="F76" s="232" t="s">
        <v>296</v>
      </c>
      <c r="G76" s="232"/>
      <c r="H76" s="232"/>
      <c r="I76" s="232"/>
      <c r="J76" s="232"/>
      <c r="K76" s="232"/>
      <c r="L76" s="233">
        <v>3</v>
      </c>
      <c r="M76" s="233"/>
      <c r="N76" s="233"/>
      <c r="O76" s="233">
        <v>2</v>
      </c>
      <c r="P76" s="233"/>
      <c r="Q76" s="233">
        <v>1</v>
      </c>
      <c r="R76" s="233">
        <v>4</v>
      </c>
      <c r="S76" s="232">
        <f t="shared" si="3"/>
        <v>10</v>
      </c>
      <c r="T76" s="232">
        <f t="shared" si="4"/>
        <v>6</v>
      </c>
      <c r="U76" s="233" t="s">
        <v>297</v>
      </c>
      <c r="V76" s="252"/>
      <c r="W76" s="232" t="s">
        <v>38</v>
      </c>
      <c r="X76" s="232"/>
      <c r="Y76" s="250" t="s">
        <v>298</v>
      </c>
      <c r="Z76" s="235"/>
      <c r="AA76" s="232"/>
    </row>
    <row r="77" spans="1:29">
      <c r="A77" s="232" t="str">
        <f t="shared" si="5"/>
        <v>ICI5100</v>
      </c>
      <c r="B77" s="233" t="s">
        <v>7</v>
      </c>
      <c r="C77" s="234" t="s">
        <v>299</v>
      </c>
      <c r="D77" s="232" t="s">
        <v>300</v>
      </c>
      <c r="E77" s="232"/>
      <c r="F77" s="232" t="s">
        <v>301</v>
      </c>
      <c r="G77" s="232"/>
      <c r="H77" s="232"/>
      <c r="I77" s="232"/>
      <c r="J77" s="232"/>
      <c r="K77" s="232"/>
      <c r="L77" s="232">
        <v>3</v>
      </c>
      <c r="M77" s="232"/>
      <c r="N77" s="232"/>
      <c r="O77" s="232">
        <v>2</v>
      </c>
      <c r="P77" s="232">
        <v>1</v>
      </c>
      <c r="Q77" s="232">
        <v>1</v>
      </c>
      <c r="R77" s="232">
        <v>3</v>
      </c>
      <c r="S77" s="232">
        <f t="shared" si="3"/>
        <v>10</v>
      </c>
      <c r="T77" s="232">
        <f t="shared" si="4"/>
        <v>6</v>
      </c>
      <c r="U77" s="232" t="s">
        <v>239</v>
      </c>
      <c r="V77" s="241"/>
      <c r="W77" s="232" t="s">
        <v>38</v>
      </c>
      <c r="X77" s="232"/>
      <c r="Y77" s="232" t="s">
        <v>302</v>
      </c>
      <c r="Z77" s="235"/>
      <c r="AA77" s="232" t="s">
        <v>302</v>
      </c>
      <c r="AB77" s="214">
        <v>6</v>
      </c>
      <c r="AC77" s="214" t="s">
        <v>34</v>
      </c>
    </row>
    <row r="78" spans="1:29">
      <c r="A78" s="232" t="str">
        <f t="shared" si="5"/>
        <v>ICI5010</v>
      </c>
      <c r="B78" s="245" t="s">
        <v>7</v>
      </c>
      <c r="C78" s="246" t="s">
        <v>303</v>
      </c>
      <c r="D78" s="250" t="s">
        <v>304</v>
      </c>
      <c r="E78" s="232"/>
      <c r="F78" s="232" t="s">
        <v>305</v>
      </c>
      <c r="G78" s="232"/>
      <c r="H78" s="232"/>
      <c r="I78" s="232"/>
      <c r="J78" s="232"/>
      <c r="K78" s="232"/>
      <c r="L78" s="233">
        <v>3</v>
      </c>
      <c r="M78" s="233">
        <v>2</v>
      </c>
      <c r="N78" s="233"/>
      <c r="O78" s="233">
        <v>2</v>
      </c>
      <c r="P78" s="233"/>
      <c r="Q78" s="233"/>
      <c r="R78" s="233">
        <v>3</v>
      </c>
      <c r="S78" s="232">
        <f t="shared" si="3"/>
        <v>10</v>
      </c>
      <c r="T78" s="232">
        <f t="shared" si="4"/>
        <v>6</v>
      </c>
      <c r="U78" s="264" t="s">
        <v>236</v>
      </c>
      <c r="V78" s="252"/>
      <c r="W78" s="232" t="s">
        <v>38</v>
      </c>
      <c r="X78" s="232"/>
      <c r="Y78" s="250" t="s">
        <v>306</v>
      </c>
      <c r="Z78" s="235"/>
      <c r="AA78" s="232"/>
    </row>
    <row r="79" spans="1:29">
      <c r="A79" s="232" t="s">
        <v>307</v>
      </c>
      <c r="B79" s="232" t="s">
        <v>11</v>
      </c>
      <c r="C79" s="255" t="s">
        <v>308</v>
      </c>
      <c r="D79" s="232" t="s">
        <v>309</v>
      </c>
      <c r="E79" s="232"/>
      <c r="F79" s="232"/>
      <c r="G79" s="232"/>
      <c r="H79" s="232"/>
      <c r="I79" s="232"/>
      <c r="J79" s="232">
        <v>9</v>
      </c>
      <c r="K79" s="232"/>
      <c r="L79" s="232">
        <v>3</v>
      </c>
      <c r="M79" s="232">
        <v>2</v>
      </c>
      <c r="N79" s="232"/>
      <c r="O79" s="232">
        <v>2</v>
      </c>
      <c r="P79" s="232">
        <v>1</v>
      </c>
      <c r="Q79" s="232"/>
      <c r="R79" s="232">
        <v>2</v>
      </c>
      <c r="S79" s="232">
        <f t="shared" si="3"/>
        <v>10</v>
      </c>
      <c r="T79" s="232">
        <f t="shared" si="4"/>
        <v>6</v>
      </c>
      <c r="U79" s="232" t="s">
        <v>310</v>
      </c>
      <c r="V79" s="241" t="s">
        <v>186</v>
      </c>
      <c r="W79" s="232" t="s">
        <v>38</v>
      </c>
      <c r="Y79" s="232" t="s">
        <v>311</v>
      </c>
      <c r="Z79" s="235"/>
      <c r="AA79" s="232" t="s">
        <v>312</v>
      </c>
      <c r="AB79" s="214">
        <v>6</v>
      </c>
      <c r="AC79" s="214" t="s">
        <v>34</v>
      </c>
    </row>
    <row r="80" spans="1:29">
      <c r="A80" s="232" t="s">
        <v>313</v>
      </c>
      <c r="B80" s="232" t="s">
        <v>8</v>
      </c>
      <c r="C80" s="255" t="s">
        <v>314</v>
      </c>
      <c r="D80" s="233" t="s">
        <v>315</v>
      </c>
      <c r="E80" s="232"/>
      <c r="F80" s="232"/>
      <c r="G80" s="232" t="s">
        <v>316</v>
      </c>
      <c r="H80" s="232"/>
      <c r="I80" s="232"/>
      <c r="J80" s="232"/>
      <c r="K80" s="232"/>
      <c r="L80" s="233">
        <v>3</v>
      </c>
      <c r="M80" s="233"/>
      <c r="N80" s="233"/>
      <c r="O80" s="233">
        <v>4</v>
      </c>
      <c r="P80" s="233"/>
      <c r="Q80" s="233"/>
      <c r="R80" s="233">
        <v>3</v>
      </c>
      <c r="S80" s="232">
        <v>10</v>
      </c>
      <c r="T80" s="232">
        <v>6</v>
      </c>
      <c r="U80" s="233" t="s">
        <v>317</v>
      </c>
      <c r="V80" s="252" t="s">
        <v>264</v>
      </c>
      <c r="W80" s="232"/>
      <c r="X80" s="232" t="s">
        <v>38</v>
      </c>
      <c r="Z80" s="235"/>
      <c r="AA80" s="232" t="s">
        <v>318</v>
      </c>
      <c r="AB80" s="214">
        <v>6</v>
      </c>
      <c r="AC80" s="214" t="s">
        <v>34</v>
      </c>
    </row>
    <row r="81" spans="1:29">
      <c r="A81" s="232" t="s">
        <v>319</v>
      </c>
      <c r="B81" s="233" t="s">
        <v>31</v>
      </c>
      <c r="C81" s="234">
        <v>4105</v>
      </c>
      <c r="D81" s="233" t="s">
        <v>320</v>
      </c>
      <c r="E81" s="232">
        <v>5</v>
      </c>
      <c r="F81" s="232">
        <v>5</v>
      </c>
      <c r="G81" s="232">
        <v>5</v>
      </c>
      <c r="H81" s="232">
        <v>5</v>
      </c>
      <c r="I81" s="232">
        <v>5</v>
      </c>
      <c r="J81" s="232">
        <v>5</v>
      </c>
      <c r="K81" s="232"/>
      <c r="L81" s="232">
        <v>2</v>
      </c>
      <c r="M81" s="232"/>
      <c r="N81" s="232"/>
      <c r="O81" s="232"/>
      <c r="P81" s="232"/>
      <c r="Q81" s="232">
        <v>2</v>
      </c>
      <c r="R81" s="232">
        <v>1</v>
      </c>
      <c r="S81" s="232">
        <f>SUM(L81:R81)</f>
        <v>5</v>
      </c>
      <c r="T81" s="232">
        <f>ROUND(S81*S$1/T$1,0)</f>
        <v>3</v>
      </c>
      <c r="U81" s="232" t="s">
        <v>101</v>
      </c>
      <c r="V81" s="232"/>
      <c r="W81" s="232" t="s">
        <v>38</v>
      </c>
      <c r="X81" s="232" t="s">
        <v>38</v>
      </c>
      <c r="Y81" s="232"/>
      <c r="Z81" s="235" t="s">
        <v>321</v>
      </c>
      <c r="AA81" s="232" t="s">
        <v>33</v>
      </c>
      <c r="AB81" s="214">
        <v>3</v>
      </c>
      <c r="AC81" s="214" t="s">
        <v>34</v>
      </c>
    </row>
    <row r="82" spans="1:29">
      <c r="A82" s="232" t="s">
        <v>322</v>
      </c>
      <c r="B82" s="240" t="s">
        <v>8</v>
      </c>
      <c r="C82" s="248">
        <v>3203</v>
      </c>
      <c r="D82" s="245" t="s">
        <v>323</v>
      </c>
      <c r="E82" s="235"/>
      <c r="F82" s="235"/>
      <c r="G82" s="235">
        <v>6</v>
      </c>
      <c r="H82" s="235"/>
      <c r="I82" s="235"/>
      <c r="J82" s="235">
        <v>6</v>
      </c>
      <c r="K82" s="235">
        <v>5</v>
      </c>
      <c r="L82" s="245">
        <v>2</v>
      </c>
      <c r="M82" s="245">
        <v>2</v>
      </c>
      <c r="N82" s="245">
        <v>1</v>
      </c>
      <c r="O82" s="245"/>
      <c r="P82" s="245"/>
      <c r="Q82" s="245">
        <v>1</v>
      </c>
      <c r="R82" s="245">
        <v>4</v>
      </c>
      <c r="S82" s="235">
        <f>SUM(L82:R82)</f>
        <v>10</v>
      </c>
      <c r="T82" s="235">
        <f>ROUND(S82*S$1/T$1,0)</f>
        <v>6</v>
      </c>
      <c r="U82" s="245" t="s">
        <v>324</v>
      </c>
      <c r="V82" s="252" t="s">
        <v>257</v>
      </c>
      <c r="W82" s="232" t="s">
        <v>38</v>
      </c>
      <c r="X82" s="232" t="s">
        <v>38</v>
      </c>
      <c r="Y82" s="232"/>
      <c r="Z82" s="235"/>
      <c r="AA82" s="232" t="s">
        <v>325</v>
      </c>
      <c r="AB82" s="214">
        <v>6</v>
      </c>
      <c r="AC82" s="214" t="s">
        <v>34</v>
      </c>
    </row>
    <row r="83" spans="1:29">
      <c r="A83" s="232" t="str">
        <f>_xlfn.CONCAT(B83,C83)</f>
        <v>ICC4206</v>
      </c>
      <c r="B83" s="233" t="s">
        <v>10</v>
      </c>
      <c r="C83" s="234" t="s">
        <v>326</v>
      </c>
      <c r="D83" s="245" t="s">
        <v>327</v>
      </c>
      <c r="E83" s="232"/>
      <c r="F83" s="232"/>
      <c r="G83" s="232"/>
      <c r="H83" s="232"/>
      <c r="I83" s="232">
        <v>8</v>
      </c>
      <c r="J83" s="232"/>
      <c r="K83" s="232"/>
      <c r="L83" s="233">
        <v>2</v>
      </c>
      <c r="M83" s="233"/>
      <c r="N83" s="233"/>
      <c r="O83" s="233">
        <v>4</v>
      </c>
      <c r="P83" s="233">
        <v>1</v>
      </c>
      <c r="Q83" s="233">
        <v>1</v>
      </c>
      <c r="R83" s="233">
        <v>2</v>
      </c>
      <c r="S83" s="232">
        <v>10</v>
      </c>
      <c r="T83" s="232">
        <v>6</v>
      </c>
      <c r="U83" s="233" t="s">
        <v>328</v>
      </c>
      <c r="V83" s="252" t="s">
        <v>156</v>
      </c>
      <c r="W83" s="232"/>
      <c r="X83" s="232" t="s">
        <v>38</v>
      </c>
      <c r="Y83" s="232" t="s">
        <v>329</v>
      </c>
      <c r="Z83" s="235"/>
      <c r="AA83" s="232" t="s">
        <v>330</v>
      </c>
      <c r="AB83" s="214">
        <v>6</v>
      </c>
      <c r="AC83" s="214" t="s">
        <v>34</v>
      </c>
    </row>
    <row r="84" ht="28.5" spans="1:29">
      <c r="A84" s="232" t="s">
        <v>331</v>
      </c>
      <c r="B84" s="235" t="s">
        <v>11</v>
      </c>
      <c r="C84" s="247" t="s">
        <v>332</v>
      </c>
      <c r="D84" s="232" t="s">
        <v>333</v>
      </c>
      <c r="E84" s="232"/>
      <c r="F84" s="232"/>
      <c r="G84" s="232"/>
      <c r="H84" s="232"/>
      <c r="I84" s="232"/>
      <c r="J84" s="232">
        <v>11</v>
      </c>
      <c r="K84" s="232"/>
      <c r="L84" s="235">
        <v>3</v>
      </c>
      <c r="M84" s="235">
        <v>2</v>
      </c>
      <c r="N84" s="235"/>
      <c r="O84" s="235">
        <v>1</v>
      </c>
      <c r="P84" s="235"/>
      <c r="Q84" s="235">
        <v>1</v>
      </c>
      <c r="R84" s="232">
        <v>3</v>
      </c>
      <c r="S84" s="232">
        <f>SUM(L84:R84)</f>
        <v>10</v>
      </c>
      <c r="T84" s="232">
        <f>ROUND(S84*S$1/T$1,0)</f>
        <v>6</v>
      </c>
      <c r="U84" s="233" t="s">
        <v>334</v>
      </c>
      <c r="V84" s="241" t="s">
        <v>264</v>
      </c>
      <c r="W84" s="232" t="s">
        <v>38</v>
      </c>
      <c r="X84" s="232"/>
      <c r="Y84" s="232" t="s">
        <v>335</v>
      </c>
      <c r="Z84" s="235"/>
      <c r="AA84" s="232" t="s">
        <v>33</v>
      </c>
      <c r="AB84" s="214">
        <v>6</v>
      </c>
      <c r="AC84" s="214" t="s">
        <v>34</v>
      </c>
    </row>
    <row r="85" spans="1:29">
      <c r="A85" s="232" t="s">
        <v>336</v>
      </c>
      <c r="B85" s="233" t="s">
        <v>8</v>
      </c>
      <c r="C85" s="234">
        <v>3201</v>
      </c>
      <c r="D85" s="233" t="s">
        <v>337</v>
      </c>
      <c r="E85" s="232"/>
      <c r="F85" s="232"/>
      <c r="G85" s="232">
        <v>6</v>
      </c>
      <c r="H85" s="232"/>
      <c r="I85" s="232"/>
      <c r="J85" s="232"/>
      <c r="K85" s="232"/>
      <c r="L85" s="233">
        <v>3</v>
      </c>
      <c r="M85" s="233">
        <v>2</v>
      </c>
      <c r="N85" s="233"/>
      <c r="O85" s="233"/>
      <c r="P85" s="233"/>
      <c r="Q85" s="233">
        <v>1</v>
      </c>
      <c r="R85" s="233">
        <v>4</v>
      </c>
      <c r="S85" s="232">
        <v>10</v>
      </c>
      <c r="T85" s="232">
        <v>6</v>
      </c>
      <c r="U85" s="233" t="s">
        <v>338</v>
      </c>
      <c r="V85" s="252"/>
      <c r="W85" s="232"/>
      <c r="X85" s="232" t="s">
        <v>38</v>
      </c>
      <c r="Y85" s="232"/>
      <c r="Z85" s="235"/>
      <c r="AA85" s="233" t="s">
        <v>337</v>
      </c>
      <c r="AB85" s="214">
        <v>6</v>
      </c>
      <c r="AC85" s="214" t="s">
        <v>34</v>
      </c>
    </row>
    <row r="86" spans="1:29">
      <c r="A86" s="232" t="str">
        <f>_xlfn.CONCAT(B86,C86)</f>
        <v>ICC4203</v>
      </c>
      <c r="B86" s="233" t="s">
        <v>10</v>
      </c>
      <c r="C86" s="234" t="s">
        <v>339</v>
      </c>
      <c r="D86" s="233" t="s">
        <v>340</v>
      </c>
      <c r="E86" s="232"/>
      <c r="F86" s="232"/>
      <c r="G86" s="232"/>
      <c r="H86" s="232"/>
      <c r="I86" s="232">
        <v>8</v>
      </c>
      <c r="J86" s="232"/>
      <c r="K86" s="232"/>
      <c r="L86" s="233">
        <v>2</v>
      </c>
      <c r="M86" s="233"/>
      <c r="N86" s="233">
        <v>2</v>
      </c>
      <c r="O86" s="233">
        <v>2</v>
      </c>
      <c r="P86" s="233"/>
      <c r="Q86" s="233">
        <v>1</v>
      </c>
      <c r="R86" s="233">
        <v>3</v>
      </c>
      <c r="S86" s="232">
        <v>10</v>
      </c>
      <c r="T86" s="232">
        <v>6</v>
      </c>
      <c r="U86" s="264" t="s">
        <v>341</v>
      </c>
      <c r="V86" s="252" t="s">
        <v>86</v>
      </c>
      <c r="W86" s="232"/>
      <c r="X86" s="232" t="s">
        <v>38</v>
      </c>
      <c r="Y86" s="232"/>
      <c r="Z86" s="235"/>
      <c r="AA86" s="232" t="s">
        <v>342</v>
      </c>
      <c r="AB86" s="214">
        <v>6</v>
      </c>
      <c r="AC86" s="214" t="s">
        <v>34</v>
      </c>
    </row>
    <row r="87" spans="1:29">
      <c r="A87" s="232" t="s">
        <v>343</v>
      </c>
      <c r="B87" s="233" t="s">
        <v>11</v>
      </c>
      <c r="C87" s="234" t="s">
        <v>258</v>
      </c>
      <c r="D87" s="232" t="s">
        <v>344</v>
      </c>
      <c r="E87" s="232"/>
      <c r="F87" s="232"/>
      <c r="G87" s="232"/>
      <c r="H87" s="232"/>
      <c r="I87" s="232"/>
      <c r="J87" s="232">
        <v>9</v>
      </c>
      <c r="K87" s="232"/>
      <c r="L87" s="235">
        <v>3</v>
      </c>
      <c r="M87" s="235"/>
      <c r="N87" s="235">
        <v>1</v>
      </c>
      <c r="O87" s="235"/>
      <c r="P87" s="235">
        <v>1</v>
      </c>
      <c r="Q87" s="235">
        <v>1</v>
      </c>
      <c r="R87" s="232">
        <v>4</v>
      </c>
      <c r="S87" s="232">
        <f>SUM(L87:R87)</f>
        <v>10</v>
      </c>
      <c r="T87" s="232">
        <f>ROUND(S87*S$1/T$1,0)</f>
        <v>6</v>
      </c>
      <c r="U87" s="233" t="s">
        <v>345</v>
      </c>
      <c r="V87" s="241" t="s">
        <v>156</v>
      </c>
      <c r="W87" s="232" t="s">
        <v>38</v>
      </c>
      <c r="X87" s="232"/>
      <c r="Y87" s="232" t="s">
        <v>346</v>
      </c>
      <c r="Z87" s="235"/>
      <c r="AA87" s="232" t="s">
        <v>33</v>
      </c>
      <c r="AB87" s="214">
        <v>6</v>
      </c>
      <c r="AC87" s="214" t="s">
        <v>34</v>
      </c>
    </row>
    <row r="88" spans="1:29">
      <c r="A88" s="232" t="str">
        <f>_xlfn.CONCAT(B88,C88)</f>
        <v>ICC4104</v>
      </c>
      <c r="B88" s="232" t="s">
        <v>10</v>
      </c>
      <c r="C88" s="255" t="s">
        <v>153</v>
      </c>
      <c r="D88" s="232" t="s">
        <v>347</v>
      </c>
      <c r="E88" s="232"/>
      <c r="F88" s="232"/>
      <c r="G88" s="232"/>
      <c r="H88" s="232"/>
      <c r="I88" s="232">
        <v>7</v>
      </c>
      <c r="J88" s="232"/>
      <c r="K88" s="232"/>
      <c r="L88" s="233">
        <v>4</v>
      </c>
      <c r="M88" s="233"/>
      <c r="N88" s="233"/>
      <c r="O88" s="233">
        <v>4</v>
      </c>
      <c r="P88" s="233"/>
      <c r="Q88" s="233"/>
      <c r="R88" s="233">
        <v>2</v>
      </c>
      <c r="S88" s="232">
        <v>10</v>
      </c>
      <c r="T88" s="232">
        <v>6</v>
      </c>
      <c r="U88" s="264" t="s">
        <v>348</v>
      </c>
      <c r="V88" s="252" t="s">
        <v>90</v>
      </c>
      <c r="W88" s="232" t="s">
        <v>38</v>
      </c>
      <c r="X88" s="232"/>
      <c r="Y88" s="232"/>
      <c r="Z88" s="235"/>
      <c r="AA88" s="232" t="s">
        <v>349</v>
      </c>
      <c r="AB88" s="214">
        <v>6</v>
      </c>
      <c r="AC88" s="214" t="s">
        <v>34</v>
      </c>
    </row>
    <row r="89" spans="1:29">
      <c r="A89" s="232" t="s">
        <v>350</v>
      </c>
      <c r="B89" s="233" t="s">
        <v>8</v>
      </c>
      <c r="C89" s="234">
        <v>4103</v>
      </c>
      <c r="D89" s="245" t="s">
        <v>351</v>
      </c>
      <c r="E89" s="232"/>
      <c r="F89" s="232"/>
      <c r="G89" s="232">
        <v>7</v>
      </c>
      <c r="H89" s="232"/>
      <c r="I89" s="232"/>
      <c r="J89" s="232">
        <v>7</v>
      </c>
      <c r="K89" s="232">
        <v>6</v>
      </c>
      <c r="L89" s="245">
        <v>3</v>
      </c>
      <c r="M89" s="245">
        <v>2</v>
      </c>
      <c r="N89" s="245">
        <v>1</v>
      </c>
      <c r="O89" s="245">
        <v>1</v>
      </c>
      <c r="P89" s="245"/>
      <c r="Q89" s="245"/>
      <c r="R89" s="233">
        <v>3</v>
      </c>
      <c r="S89" s="232">
        <f>SUM(L89:R89)</f>
        <v>10</v>
      </c>
      <c r="T89" s="232">
        <f>ROUND(S89*S$1/T$1,0)</f>
        <v>6</v>
      </c>
      <c r="U89" s="233" t="s">
        <v>352</v>
      </c>
      <c r="V89" s="252"/>
      <c r="W89" s="214" t="s">
        <v>38</v>
      </c>
      <c r="X89" s="232" t="s">
        <v>38</v>
      </c>
      <c r="Y89" s="232"/>
      <c r="Z89" s="235"/>
      <c r="AA89" s="232" t="s">
        <v>353</v>
      </c>
      <c r="AB89" s="214">
        <v>6</v>
      </c>
      <c r="AC89" s="214" t="s">
        <v>34</v>
      </c>
    </row>
    <row r="90" spans="1:29">
      <c r="A90" s="232" t="str">
        <f>_xlfn.CONCAT(B90,C90)</f>
        <v>ICC4101</v>
      </c>
      <c r="B90" s="233" t="s">
        <v>10</v>
      </c>
      <c r="C90" s="234">
        <v>4101</v>
      </c>
      <c r="D90" s="233" t="s">
        <v>354</v>
      </c>
      <c r="E90" s="232"/>
      <c r="F90" s="232"/>
      <c r="G90" s="232"/>
      <c r="H90" s="232"/>
      <c r="I90" s="232">
        <v>7</v>
      </c>
      <c r="J90" s="232"/>
      <c r="K90" s="232">
        <v>7</v>
      </c>
      <c r="L90" s="233"/>
      <c r="M90" s="233"/>
      <c r="N90" s="233">
        <v>4</v>
      </c>
      <c r="O90" s="233"/>
      <c r="P90" s="233"/>
      <c r="Q90" s="233">
        <v>2</v>
      </c>
      <c r="R90" s="233">
        <v>4</v>
      </c>
      <c r="S90" s="232">
        <v>10</v>
      </c>
      <c r="T90" s="232">
        <v>6</v>
      </c>
      <c r="U90" s="264" t="s">
        <v>355</v>
      </c>
      <c r="V90" s="252" t="s">
        <v>356</v>
      </c>
      <c r="W90" s="232" t="s">
        <v>38</v>
      </c>
      <c r="X90" s="232"/>
      <c r="Y90" s="232"/>
      <c r="Z90" s="235"/>
      <c r="AA90" s="232" t="s">
        <v>357</v>
      </c>
      <c r="AB90" s="214">
        <v>6</v>
      </c>
      <c r="AC90" s="214" t="s">
        <v>34</v>
      </c>
    </row>
    <row r="91" spans="1:29">
      <c r="A91" s="232" t="s">
        <v>358</v>
      </c>
      <c r="B91" s="233" t="s">
        <v>8</v>
      </c>
      <c r="C91" s="234" t="s">
        <v>192</v>
      </c>
      <c r="D91" s="233" t="s">
        <v>359</v>
      </c>
      <c r="E91" s="232"/>
      <c r="F91" s="232"/>
      <c r="G91" s="232" t="s">
        <v>360</v>
      </c>
      <c r="H91" s="232"/>
      <c r="I91" s="232"/>
      <c r="J91" s="232"/>
      <c r="K91" s="232"/>
      <c r="L91" s="233">
        <v>3</v>
      </c>
      <c r="M91" s="233"/>
      <c r="N91" s="233"/>
      <c r="O91" s="233">
        <v>4</v>
      </c>
      <c r="P91" s="233"/>
      <c r="Q91" s="233"/>
      <c r="R91" s="233">
        <v>3</v>
      </c>
      <c r="S91" s="232">
        <v>10</v>
      </c>
      <c r="T91" s="232">
        <v>6</v>
      </c>
      <c r="U91" s="233" t="s">
        <v>361</v>
      </c>
      <c r="V91" s="252" t="s">
        <v>356</v>
      </c>
      <c r="W91" s="232" t="s">
        <v>38</v>
      </c>
      <c r="X91" s="232"/>
      <c r="Y91" s="232"/>
      <c r="Z91" s="235"/>
      <c r="AA91" s="232" t="s">
        <v>362</v>
      </c>
      <c r="AB91" s="214">
        <v>6</v>
      </c>
      <c r="AC91" s="214" t="s">
        <v>34</v>
      </c>
    </row>
    <row r="92" spans="1:29">
      <c r="A92" s="232" t="str">
        <f>_xlfn.CONCAT(B92,C92)</f>
        <v>ICC5106</v>
      </c>
      <c r="B92" s="232" t="s">
        <v>10</v>
      </c>
      <c r="C92" s="255" t="s">
        <v>192</v>
      </c>
      <c r="D92" s="233" t="s">
        <v>363</v>
      </c>
      <c r="E92" s="232"/>
      <c r="F92" s="232"/>
      <c r="G92" s="232"/>
      <c r="H92" s="232"/>
      <c r="I92" s="232">
        <v>9</v>
      </c>
      <c r="J92" s="232"/>
      <c r="K92" s="232"/>
      <c r="L92" s="233">
        <v>2</v>
      </c>
      <c r="M92" s="233"/>
      <c r="N92" s="233">
        <v>2</v>
      </c>
      <c r="O92" s="233">
        <v>4</v>
      </c>
      <c r="P92" s="233"/>
      <c r="Q92" s="233"/>
      <c r="R92" s="233">
        <v>2</v>
      </c>
      <c r="S92" s="232">
        <v>10</v>
      </c>
      <c r="T92" s="232">
        <v>6</v>
      </c>
      <c r="U92" s="233" t="s">
        <v>364</v>
      </c>
      <c r="V92" s="252" t="s">
        <v>135</v>
      </c>
      <c r="W92" s="232" t="s">
        <v>38</v>
      </c>
      <c r="X92" s="232"/>
      <c r="Y92" s="232"/>
      <c r="Z92" s="235"/>
      <c r="AA92" s="232" t="s">
        <v>365</v>
      </c>
      <c r="AB92" s="214">
        <v>6</v>
      </c>
      <c r="AC92" s="214" t="s">
        <v>34</v>
      </c>
    </row>
    <row r="93" spans="1:29">
      <c r="A93" s="232" t="s">
        <v>366</v>
      </c>
      <c r="B93" s="245" t="s">
        <v>8</v>
      </c>
      <c r="C93" s="246" t="s">
        <v>111</v>
      </c>
      <c r="D93" s="235" t="s">
        <v>367</v>
      </c>
      <c r="E93" s="232"/>
      <c r="F93" s="232"/>
      <c r="G93" s="232">
        <v>9</v>
      </c>
      <c r="H93" s="232"/>
      <c r="I93" s="232"/>
      <c r="J93" s="232"/>
      <c r="K93" s="232"/>
      <c r="L93" s="232">
        <v>3</v>
      </c>
      <c r="M93" s="232">
        <v>2</v>
      </c>
      <c r="N93" s="232"/>
      <c r="O93" s="232">
        <v>1</v>
      </c>
      <c r="P93" s="232"/>
      <c r="Q93" s="232"/>
      <c r="R93" s="232">
        <v>4</v>
      </c>
      <c r="S93" s="232">
        <v>10</v>
      </c>
      <c r="T93" s="232">
        <v>6</v>
      </c>
      <c r="U93" s="232" t="s">
        <v>361</v>
      </c>
      <c r="V93" s="241"/>
      <c r="W93" s="232" t="s">
        <v>38</v>
      </c>
      <c r="X93" s="232"/>
      <c r="Y93" s="232"/>
      <c r="Z93" s="235"/>
      <c r="AA93" s="232" t="s">
        <v>368</v>
      </c>
      <c r="AB93" s="214">
        <v>6</v>
      </c>
      <c r="AC93" s="214" t="s">
        <v>34</v>
      </c>
    </row>
    <row r="94" spans="1:29">
      <c r="A94" s="232" t="s">
        <v>369</v>
      </c>
      <c r="B94" s="233" t="s">
        <v>8</v>
      </c>
      <c r="C94" s="234" t="s">
        <v>204</v>
      </c>
      <c r="D94" s="232" t="s">
        <v>370</v>
      </c>
      <c r="E94" s="232"/>
      <c r="F94" s="232"/>
      <c r="G94" s="232" t="s">
        <v>371</v>
      </c>
      <c r="H94" s="232"/>
      <c r="I94" s="232"/>
      <c r="J94" s="232"/>
      <c r="K94" s="232"/>
      <c r="L94" s="232">
        <v>3</v>
      </c>
      <c r="M94" s="232">
        <v>2</v>
      </c>
      <c r="N94" s="232"/>
      <c r="O94" s="232">
        <v>1</v>
      </c>
      <c r="P94" s="232">
        <v>1</v>
      </c>
      <c r="Q94" s="232"/>
      <c r="R94" s="232">
        <v>3</v>
      </c>
      <c r="S94" s="232">
        <v>10</v>
      </c>
      <c r="T94" s="232">
        <v>6</v>
      </c>
      <c r="U94" s="232" t="s">
        <v>372</v>
      </c>
      <c r="V94" s="241"/>
      <c r="W94" s="232"/>
      <c r="X94" s="232" t="s">
        <v>38</v>
      </c>
      <c r="Y94" s="232"/>
      <c r="Z94" s="235"/>
      <c r="AA94" s="232" t="s">
        <v>370</v>
      </c>
      <c r="AB94" s="214">
        <v>6</v>
      </c>
      <c r="AC94" s="214" t="s">
        <v>34</v>
      </c>
    </row>
    <row r="95" spans="1:29">
      <c r="A95" s="232" t="s">
        <v>373</v>
      </c>
      <c r="B95" s="245" t="s">
        <v>8</v>
      </c>
      <c r="C95" s="246">
        <v>4203</v>
      </c>
      <c r="D95" s="233" t="s">
        <v>374</v>
      </c>
      <c r="E95" s="232"/>
      <c r="F95" s="232"/>
      <c r="G95" s="232">
        <v>8</v>
      </c>
      <c r="H95" s="232"/>
      <c r="I95" s="232"/>
      <c r="J95" s="232">
        <v>8</v>
      </c>
      <c r="K95" s="232">
        <v>7</v>
      </c>
      <c r="L95" s="245">
        <v>3</v>
      </c>
      <c r="M95" s="245">
        <v>2</v>
      </c>
      <c r="N95" s="245"/>
      <c r="O95" s="245"/>
      <c r="P95" s="245"/>
      <c r="Q95" s="245">
        <v>1</v>
      </c>
      <c r="R95" s="233">
        <v>4</v>
      </c>
      <c r="S95" s="232">
        <v>10</v>
      </c>
      <c r="T95" s="232">
        <v>6</v>
      </c>
      <c r="U95" s="233" t="s">
        <v>375</v>
      </c>
      <c r="V95" s="252"/>
      <c r="W95" s="232" t="s">
        <v>38</v>
      </c>
      <c r="X95" s="232" t="s">
        <v>38</v>
      </c>
      <c r="Y95" s="232"/>
      <c r="Z95" s="235"/>
      <c r="AA95" s="232" t="s">
        <v>374</v>
      </c>
      <c r="AB95" s="214">
        <v>6</v>
      </c>
      <c r="AC95" s="214" t="s">
        <v>34</v>
      </c>
    </row>
    <row r="96" spans="1:29">
      <c r="A96" s="232" t="s">
        <v>376</v>
      </c>
      <c r="B96" s="232" t="s">
        <v>8</v>
      </c>
      <c r="C96" s="255" t="s">
        <v>299</v>
      </c>
      <c r="D96" s="232" t="s">
        <v>377</v>
      </c>
      <c r="E96" s="232"/>
      <c r="F96" s="232"/>
      <c r="G96" s="232">
        <v>9</v>
      </c>
      <c r="H96" s="232"/>
      <c r="I96" s="232"/>
      <c r="J96" s="232"/>
      <c r="K96" s="232"/>
      <c r="L96" s="232">
        <v>3</v>
      </c>
      <c r="M96" s="232">
        <v>2</v>
      </c>
      <c r="N96" s="232"/>
      <c r="O96" s="232">
        <v>1</v>
      </c>
      <c r="P96" s="232">
        <v>1</v>
      </c>
      <c r="Q96" s="232"/>
      <c r="R96" s="232">
        <v>3</v>
      </c>
      <c r="S96" s="232">
        <v>10</v>
      </c>
      <c r="T96" s="232">
        <v>6</v>
      </c>
      <c r="U96" s="232" t="s">
        <v>361</v>
      </c>
      <c r="V96" s="262" t="s">
        <v>114</v>
      </c>
      <c r="W96" s="232" t="s">
        <v>38</v>
      </c>
      <c r="X96" s="232"/>
      <c r="Y96" s="232" t="s">
        <v>378</v>
      </c>
      <c r="Z96" s="235"/>
      <c r="AA96" s="232" t="s">
        <v>379</v>
      </c>
      <c r="AB96" s="214">
        <v>6</v>
      </c>
      <c r="AC96" s="214" t="s">
        <v>34</v>
      </c>
    </row>
    <row r="97" ht="38.1" customHeight="1" spans="1:29">
      <c r="A97" s="232" t="s">
        <v>380</v>
      </c>
      <c r="B97" s="235" t="s">
        <v>11</v>
      </c>
      <c r="C97" s="247" t="s">
        <v>246</v>
      </c>
      <c r="D97" s="233" t="s">
        <v>345</v>
      </c>
      <c r="E97" s="232"/>
      <c r="F97" s="232"/>
      <c r="G97" s="232"/>
      <c r="H97" s="232"/>
      <c r="I97" s="232"/>
      <c r="J97" s="232">
        <v>8</v>
      </c>
      <c r="K97" s="232">
        <v>7</v>
      </c>
      <c r="L97" s="245">
        <v>3</v>
      </c>
      <c r="M97" s="245">
        <v>2</v>
      </c>
      <c r="N97" s="245">
        <v>1</v>
      </c>
      <c r="O97" s="245"/>
      <c r="P97" s="245"/>
      <c r="Q97" s="245">
        <v>1</v>
      </c>
      <c r="R97" s="233">
        <v>3</v>
      </c>
      <c r="S97" s="232">
        <f>SUM(L97:R97)</f>
        <v>10</v>
      </c>
      <c r="T97" s="232">
        <f>ROUND(S97*S$1/T$1,0)</f>
        <v>6</v>
      </c>
      <c r="U97" s="233" t="s">
        <v>381</v>
      </c>
      <c r="V97" s="252" t="s">
        <v>135</v>
      </c>
      <c r="W97" s="232" t="s">
        <v>38</v>
      </c>
      <c r="X97" s="232" t="s">
        <v>38</v>
      </c>
      <c r="Y97" s="233" t="s">
        <v>382</v>
      </c>
      <c r="Z97" s="235"/>
      <c r="AA97" s="232" t="s">
        <v>383</v>
      </c>
      <c r="AB97" s="214">
        <v>6</v>
      </c>
      <c r="AC97" s="214" t="s">
        <v>34</v>
      </c>
    </row>
    <row r="98" spans="1:29">
      <c r="A98" s="232" t="s">
        <v>384</v>
      </c>
      <c r="B98" s="235" t="s">
        <v>11</v>
      </c>
      <c r="C98" s="247" t="s">
        <v>253</v>
      </c>
      <c r="D98" s="232" t="s">
        <v>385</v>
      </c>
      <c r="E98" s="232"/>
      <c r="F98" s="232"/>
      <c r="G98" s="232"/>
      <c r="H98" s="232"/>
      <c r="I98" s="232"/>
      <c r="J98" s="232">
        <v>9</v>
      </c>
      <c r="K98" s="232"/>
      <c r="L98" s="232">
        <v>3</v>
      </c>
      <c r="M98" s="232"/>
      <c r="N98" s="232"/>
      <c r="O98" s="232">
        <v>3</v>
      </c>
      <c r="P98" s="232">
        <v>1</v>
      </c>
      <c r="Q98" s="232">
        <v>1</v>
      </c>
      <c r="R98" s="232">
        <v>2</v>
      </c>
      <c r="S98" s="232">
        <f>SUM(L98:R98)</f>
        <v>10</v>
      </c>
      <c r="T98" s="232">
        <f>ROUND(S98*S$1/T$1,0)</f>
        <v>6</v>
      </c>
      <c r="U98" s="233" t="s">
        <v>345</v>
      </c>
      <c r="V98" s="241" t="s">
        <v>386</v>
      </c>
      <c r="W98" s="232" t="s">
        <v>38</v>
      </c>
      <c r="X98" s="232"/>
      <c r="Y98" s="232" t="s">
        <v>387</v>
      </c>
      <c r="Z98" s="235"/>
      <c r="AA98" s="232" t="s">
        <v>33</v>
      </c>
      <c r="AB98" s="214">
        <v>6</v>
      </c>
      <c r="AC98" s="214" t="s">
        <v>34</v>
      </c>
    </row>
    <row r="99" ht="28.5" spans="1:29">
      <c r="A99" s="232" t="str">
        <f>_xlfn.CONCAT(B99,C99)</f>
        <v>ICC6110</v>
      </c>
      <c r="B99" s="240" t="s">
        <v>10</v>
      </c>
      <c r="C99" s="247" t="s">
        <v>332</v>
      </c>
      <c r="D99" s="245" t="s">
        <v>388</v>
      </c>
      <c r="E99" s="232"/>
      <c r="F99" s="232"/>
      <c r="G99" s="232"/>
      <c r="H99" s="232"/>
      <c r="I99" s="232">
        <v>11</v>
      </c>
      <c r="J99" s="232"/>
      <c r="K99" s="232"/>
      <c r="L99" s="233">
        <v>2</v>
      </c>
      <c r="M99" s="233"/>
      <c r="N99" s="233"/>
      <c r="O99" s="233">
        <v>4</v>
      </c>
      <c r="P99" s="233">
        <v>1</v>
      </c>
      <c r="Q99" s="233">
        <v>1</v>
      </c>
      <c r="R99" s="233">
        <v>2</v>
      </c>
      <c r="S99" s="232">
        <v>10</v>
      </c>
      <c r="T99" s="232">
        <v>6</v>
      </c>
      <c r="U99" s="233" t="s">
        <v>389</v>
      </c>
      <c r="V99" s="252" t="s">
        <v>186</v>
      </c>
      <c r="W99" s="232" t="s">
        <v>38</v>
      </c>
      <c r="X99" s="232"/>
      <c r="Y99" s="232" t="s">
        <v>390</v>
      </c>
      <c r="Z99" s="235"/>
      <c r="AA99" s="232" t="s">
        <v>330</v>
      </c>
      <c r="AB99" s="214">
        <v>6</v>
      </c>
      <c r="AC99" s="214" t="s">
        <v>34</v>
      </c>
    </row>
    <row r="100" spans="1:29">
      <c r="A100" s="232" t="str">
        <f>_xlfn.CONCAT(B100,C100)</f>
        <v>ICC3202</v>
      </c>
      <c r="B100" s="233" t="s">
        <v>10</v>
      </c>
      <c r="C100" s="234">
        <v>3202</v>
      </c>
      <c r="D100" s="233" t="s">
        <v>391</v>
      </c>
      <c r="E100" s="232"/>
      <c r="F100" s="232"/>
      <c r="G100" s="232"/>
      <c r="H100" s="232"/>
      <c r="I100" s="232">
        <v>6</v>
      </c>
      <c r="J100" s="232"/>
      <c r="K100" s="232" t="s">
        <v>227</v>
      </c>
      <c r="L100" s="233">
        <v>3</v>
      </c>
      <c r="M100" s="233"/>
      <c r="N100" s="233"/>
      <c r="O100" s="233">
        <v>2</v>
      </c>
      <c r="P100" s="233"/>
      <c r="Q100" s="233"/>
      <c r="R100" s="233">
        <v>5</v>
      </c>
      <c r="S100" s="232">
        <v>10</v>
      </c>
      <c r="T100" s="232">
        <v>6</v>
      </c>
      <c r="U100" s="264" t="s">
        <v>93</v>
      </c>
      <c r="V100" s="252"/>
      <c r="W100" s="232"/>
      <c r="X100" s="232" t="s">
        <v>38</v>
      </c>
      <c r="Y100" s="232"/>
      <c r="Z100" s="235"/>
      <c r="AA100" s="233" t="s">
        <v>391</v>
      </c>
      <c r="AB100" s="214">
        <v>6</v>
      </c>
      <c r="AC100" s="214" t="s">
        <v>34</v>
      </c>
    </row>
    <row r="101" spans="1:29">
      <c r="A101" s="232" t="s">
        <v>392</v>
      </c>
      <c r="B101" s="245" t="s">
        <v>11</v>
      </c>
      <c r="C101" s="246" t="s">
        <v>238</v>
      </c>
      <c r="D101" s="233" t="s">
        <v>393</v>
      </c>
      <c r="E101" s="232"/>
      <c r="F101" s="232"/>
      <c r="G101" s="232"/>
      <c r="H101" s="232"/>
      <c r="I101" s="232"/>
      <c r="J101" s="232">
        <v>7</v>
      </c>
      <c r="K101" s="232"/>
      <c r="L101" s="233">
        <v>3</v>
      </c>
      <c r="M101" s="233">
        <v>2</v>
      </c>
      <c r="N101" s="233">
        <v>0</v>
      </c>
      <c r="O101" s="233"/>
      <c r="P101" s="233"/>
      <c r="Q101" s="233"/>
      <c r="R101" s="233">
        <v>5</v>
      </c>
      <c r="S101" s="232">
        <f>SUM(L101:R101)</f>
        <v>10</v>
      </c>
      <c r="T101" s="232">
        <f>ROUND(S101*S$1/T$1,0)</f>
        <v>6</v>
      </c>
      <c r="U101" s="233" t="s">
        <v>145</v>
      </c>
      <c r="V101" s="252"/>
      <c r="W101" s="232" t="s">
        <v>38</v>
      </c>
      <c r="X101" s="232"/>
      <c r="Y101" s="233" t="s">
        <v>394</v>
      </c>
      <c r="Z101" s="235"/>
      <c r="AA101" s="232" t="s">
        <v>33</v>
      </c>
      <c r="AB101" s="214">
        <v>6</v>
      </c>
      <c r="AC101" s="214" t="s">
        <v>34</v>
      </c>
    </row>
    <row r="102" spans="1:29">
      <c r="A102" s="232" t="s">
        <v>395</v>
      </c>
      <c r="B102" s="233" t="s">
        <v>8</v>
      </c>
      <c r="C102" s="234">
        <v>3103</v>
      </c>
      <c r="D102" s="245" t="s">
        <v>396</v>
      </c>
      <c r="E102" s="235"/>
      <c r="F102" s="235"/>
      <c r="G102" s="235">
        <v>5</v>
      </c>
      <c r="H102" s="235"/>
      <c r="I102" s="235"/>
      <c r="J102" s="235">
        <v>5</v>
      </c>
      <c r="K102" s="235"/>
      <c r="L102" s="245">
        <v>3</v>
      </c>
      <c r="M102" s="245"/>
      <c r="N102" s="245">
        <v>2</v>
      </c>
      <c r="O102" s="245">
        <v>1</v>
      </c>
      <c r="P102" s="245"/>
      <c r="Q102" s="245"/>
      <c r="R102" s="245">
        <v>4</v>
      </c>
      <c r="S102" s="235">
        <f>SUM(L102:R102)</f>
        <v>10</v>
      </c>
      <c r="T102" s="235">
        <f>ROUND(S102*S$1/T$1,0)</f>
        <v>6</v>
      </c>
      <c r="U102" s="245" t="s">
        <v>397</v>
      </c>
      <c r="V102" s="252"/>
      <c r="W102" s="232" t="s">
        <v>38</v>
      </c>
      <c r="X102" s="232"/>
      <c r="Y102" s="232"/>
      <c r="Z102" s="235"/>
      <c r="AA102" s="232" t="s">
        <v>398</v>
      </c>
      <c r="AB102" s="214">
        <v>6</v>
      </c>
      <c r="AC102" s="214" t="s">
        <v>34</v>
      </c>
    </row>
    <row r="103" spans="1:29">
      <c r="A103" s="232" t="s">
        <v>399</v>
      </c>
      <c r="B103" s="232" t="s">
        <v>8</v>
      </c>
      <c r="C103" s="255" t="s">
        <v>183</v>
      </c>
      <c r="D103" s="232" t="s">
        <v>400</v>
      </c>
      <c r="E103" s="232"/>
      <c r="F103" s="232"/>
      <c r="G103" s="232" t="s">
        <v>401</v>
      </c>
      <c r="H103" s="232"/>
      <c r="I103" s="232"/>
      <c r="J103" s="232"/>
      <c r="K103" s="232"/>
      <c r="L103" s="232">
        <v>3</v>
      </c>
      <c r="M103" s="232"/>
      <c r="N103" s="232"/>
      <c r="O103" s="232">
        <v>1</v>
      </c>
      <c r="P103" s="232"/>
      <c r="Q103" s="232">
        <v>1</v>
      </c>
      <c r="R103" s="232">
        <v>5</v>
      </c>
      <c r="S103" s="232">
        <v>10</v>
      </c>
      <c r="T103" s="232">
        <v>6</v>
      </c>
      <c r="U103" s="232" t="s">
        <v>402</v>
      </c>
      <c r="V103" s="241" t="s">
        <v>114</v>
      </c>
      <c r="W103" s="232" t="s">
        <v>38</v>
      </c>
      <c r="X103" s="232"/>
      <c r="Y103" s="232"/>
      <c r="Z103" s="235"/>
      <c r="AA103" s="232" t="s">
        <v>403</v>
      </c>
      <c r="AB103" s="214">
        <v>6</v>
      </c>
      <c r="AC103" s="214" t="s">
        <v>34</v>
      </c>
    </row>
    <row r="104" spans="1:29">
      <c r="A104" s="232" t="s">
        <v>404</v>
      </c>
      <c r="B104" s="240" t="s">
        <v>8</v>
      </c>
      <c r="C104" s="248" t="s">
        <v>405</v>
      </c>
      <c r="D104" s="232" t="s">
        <v>406</v>
      </c>
      <c r="E104" s="232"/>
      <c r="F104" s="232"/>
      <c r="G104" s="232" t="s">
        <v>401</v>
      </c>
      <c r="H104" s="232"/>
      <c r="I104" s="232"/>
      <c r="J104" s="232"/>
      <c r="K104" s="232"/>
      <c r="L104" s="232">
        <v>3</v>
      </c>
      <c r="M104" s="232">
        <v>1</v>
      </c>
      <c r="N104" s="232"/>
      <c r="O104" s="232"/>
      <c r="P104" s="232"/>
      <c r="Q104" s="232">
        <v>1</v>
      </c>
      <c r="R104" s="232">
        <v>5</v>
      </c>
      <c r="S104" s="232">
        <v>10</v>
      </c>
      <c r="T104" s="232">
        <v>6</v>
      </c>
      <c r="U104" s="232" t="s">
        <v>361</v>
      </c>
      <c r="V104" s="241"/>
      <c r="W104" s="232" t="s">
        <v>38</v>
      </c>
      <c r="X104" s="232"/>
      <c r="Y104" s="232"/>
      <c r="Z104" s="235"/>
      <c r="AA104" s="232" t="s">
        <v>406</v>
      </c>
      <c r="AB104" s="214">
        <v>6</v>
      </c>
      <c r="AC104" s="214" t="s">
        <v>34</v>
      </c>
    </row>
    <row r="105" spans="1:29">
      <c r="A105" s="232" t="str">
        <f>_xlfn.CONCAT(B105,C105)</f>
        <v>ICC3203</v>
      </c>
      <c r="B105" s="235" t="s">
        <v>10</v>
      </c>
      <c r="C105" s="247">
        <v>3203</v>
      </c>
      <c r="D105" s="233" t="s">
        <v>355</v>
      </c>
      <c r="E105" s="232"/>
      <c r="F105" s="232"/>
      <c r="G105" s="232"/>
      <c r="H105" s="232"/>
      <c r="I105" s="232">
        <v>6</v>
      </c>
      <c r="J105" s="232"/>
      <c r="K105" s="232">
        <v>6</v>
      </c>
      <c r="L105" s="233">
        <v>2</v>
      </c>
      <c r="M105" s="233"/>
      <c r="N105" s="233">
        <v>2</v>
      </c>
      <c r="O105" s="233">
        <v>2</v>
      </c>
      <c r="P105" s="233"/>
      <c r="Q105" s="233"/>
      <c r="R105" s="233">
        <v>4</v>
      </c>
      <c r="S105" s="232">
        <v>10</v>
      </c>
      <c r="T105" s="232">
        <v>6</v>
      </c>
      <c r="U105" s="264" t="s">
        <v>407</v>
      </c>
      <c r="V105" s="252" t="s">
        <v>135</v>
      </c>
      <c r="W105" s="232"/>
      <c r="X105" s="232" t="s">
        <v>38</v>
      </c>
      <c r="Y105" s="232"/>
      <c r="Z105" s="235"/>
      <c r="AA105" s="233" t="s">
        <v>355</v>
      </c>
      <c r="AB105" s="214">
        <v>6</v>
      </c>
      <c r="AC105" s="214" t="s">
        <v>34</v>
      </c>
    </row>
    <row r="106" ht="42.75" spans="1:29">
      <c r="A106" s="232" t="s">
        <v>408</v>
      </c>
      <c r="B106" s="245" t="s">
        <v>11</v>
      </c>
      <c r="C106" s="246" t="s">
        <v>409</v>
      </c>
      <c r="D106" s="233" t="s">
        <v>201</v>
      </c>
      <c r="E106" s="232"/>
      <c r="F106" s="232"/>
      <c r="G106" s="232"/>
      <c r="H106" s="232"/>
      <c r="I106" s="232"/>
      <c r="J106" s="232">
        <v>5</v>
      </c>
      <c r="K106" s="232">
        <v>6</v>
      </c>
      <c r="L106" s="233">
        <v>3</v>
      </c>
      <c r="M106" s="233"/>
      <c r="N106" s="233">
        <v>1</v>
      </c>
      <c r="O106" s="233">
        <v>2</v>
      </c>
      <c r="P106" s="233"/>
      <c r="Q106" s="233">
        <v>1</v>
      </c>
      <c r="R106" s="233">
        <v>3</v>
      </c>
      <c r="S106" s="232">
        <f>SUM(L106:R106)</f>
        <v>10</v>
      </c>
      <c r="T106" s="232">
        <f>ROUND(S106*S$1/T$1,0)</f>
        <v>6</v>
      </c>
      <c r="U106" s="233" t="s">
        <v>410</v>
      </c>
      <c r="V106" s="252" t="s">
        <v>156</v>
      </c>
      <c r="W106" s="232" t="s">
        <v>38</v>
      </c>
      <c r="X106" s="232" t="s">
        <v>38</v>
      </c>
      <c r="Y106" s="233" t="s">
        <v>411</v>
      </c>
      <c r="Z106" s="235"/>
      <c r="AA106" s="232" t="s">
        <v>33</v>
      </c>
      <c r="AB106" s="214">
        <v>6</v>
      </c>
      <c r="AC106" s="214" t="s">
        <v>34</v>
      </c>
    </row>
    <row r="107" spans="1:29">
      <c r="A107" s="232" t="s">
        <v>412</v>
      </c>
      <c r="B107" s="233" t="s">
        <v>11</v>
      </c>
      <c r="C107" s="234" t="s">
        <v>405</v>
      </c>
      <c r="D107" s="233" t="s">
        <v>413</v>
      </c>
      <c r="E107" s="232"/>
      <c r="F107" s="232"/>
      <c r="G107" s="232"/>
      <c r="H107" s="232"/>
      <c r="I107" s="232"/>
      <c r="J107" s="232">
        <v>9</v>
      </c>
      <c r="K107" s="232"/>
      <c r="L107" s="233">
        <v>3</v>
      </c>
      <c r="M107" s="233">
        <v>2</v>
      </c>
      <c r="N107" s="233">
        <v>0</v>
      </c>
      <c r="O107" s="233">
        <v>2</v>
      </c>
      <c r="P107" s="233"/>
      <c r="Q107" s="233"/>
      <c r="R107" s="233">
        <v>3</v>
      </c>
      <c r="S107" s="232">
        <f>SUM(L107:R107)</f>
        <v>10</v>
      </c>
      <c r="T107" s="232">
        <f>ROUND(S107*S$1/T$1,0)</f>
        <v>6</v>
      </c>
      <c r="U107" s="233" t="s">
        <v>414</v>
      </c>
      <c r="V107" s="252"/>
      <c r="W107" s="232" t="s">
        <v>38</v>
      </c>
      <c r="X107" s="232"/>
      <c r="Y107" s="233" t="s">
        <v>415</v>
      </c>
      <c r="Z107" s="235"/>
      <c r="AA107" s="232" t="s">
        <v>33</v>
      </c>
      <c r="AB107" s="214">
        <v>6</v>
      </c>
      <c r="AC107" s="214" t="s">
        <v>34</v>
      </c>
    </row>
    <row r="108" spans="1:29">
      <c r="A108" s="232" t="str">
        <f>_xlfn.CONCAT(B108,C108)</f>
        <v>ICC3100</v>
      </c>
      <c r="B108" s="233" t="s">
        <v>10</v>
      </c>
      <c r="C108" s="234" t="s">
        <v>416</v>
      </c>
      <c r="D108" s="233" t="s">
        <v>417</v>
      </c>
      <c r="E108" s="232"/>
      <c r="F108" s="232"/>
      <c r="G108" s="232"/>
      <c r="H108" s="232"/>
      <c r="I108" s="232">
        <v>5</v>
      </c>
      <c r="J108" s="232"/>
      <c r="K108" s="232">
        <v>5</v>
      </c>
      <c r="L108" s="233">
        <v>2</v>
      </c>
      <c r="M108" s="233"/>
      <c r="N108" s="233">
        <v>2</v>
      </c>
      <c r="O108" s="233">
        <v>4</v>
      </c>
      <c r="P108" s="233"/>
      <c r="Q108" s="233"/>
      <c r="R108" s="233">
        <v>2</v>
      </c>
      <c r="S108" s="232">
        <v>10</v>
      </c>
      <c r="T108" s="232">
        <v>6</v>
      </c>
      <c r="U108" s="264" t="s">
        <v>56</v>
      </c>
      <c r="V108" s="252"/>
      <c r="W108" s="232" t="s">
        <v>38</v>
      </c>
      <c r="X108" s="232" t="s">
        <v>38</v>
      </c>
      <c r="Y108" s="232" t="s">
        <v>418</v>
      </c>
      <c r="Z108" s="235" t="s">
        <v>419</v>
      </c>
      <c r="AA108" s="232" t="s">
        <v>419</v>
      </c>
      <c r="AB108" s="214">
        <v>6</v>
      </c>
      <c r="AC108" s="214" t="s">
        <v>34</v>
      </c>
    </row>
    <row r="109" spans="1:29">
      <c r="A109" s="232" t="str">
        <f>_xlfn.CONCAT(B109,C109)</f>
        <v>ICC5203</v>
      </c>
      <c r="B109" s="232" t="s">
        <v>10</v>
      </c>
      <c r="C109" s="255" t="s">
        <v>209</v>
      </c>
      <c r="D109" s="245" t="s">
        <v>420</v>
      </c>
      <c r="E109" s="232"/>
      <c r="F109" s="232"/>
      <c r="G109" s="232"/>
      <c r="H109" s="232"/>
      <c r="I109" s="232">
        <v>10</v>
      </c>
      <c r="J109" s="232"/>
      <c r="K109" s="232"/>
      <c r="L109" s="245">
        <v>2</v>
      </c>
      <c r="M109" s="245"/>
      <c r="N109" s="245"/>
      <c r="O109" s="245">
        <v>4</v>
      </c>
      <c r="P109" s="245">
        <v>1</v>
      </c>
      <c r="Q109" s="245">
        <v>1</v>
      </c>
      <c r="R109" s="233">
        <v>2</v>
      </c>
      <c r="S109" s="232">
        <v>10</v>
      </c>
      <c r="T109" s="232">
        <v>6</v>
      </c>
      <c r="U109" s="233" t="s">
        <v>421</v>
      </c>
      <c r="V109" s="252"/>
      <c r="W109" s="232"/>
      <c r="X109" s="232" t="s">
        <v>38</v>
      </c>
      <c r="Y109" s="232" t="s">
        <v>422</v>
      </c>
      <c r="Z109" s="235"/>
      <c r="AA109" s="232" t="s">
        <v>423</v>
      </c>
      <c r="AB109" s="214">
        <v>6</v>
      </c>
      <c r="AC109" s="214" t="s">
        <v>34</v>
      </c>
    </row>
    <row r="110" spans="1:29">
      <c r="A110" s="232" t="s">
        <v>424</v>
      </c>
      <c r="B110" s="235" t="s">
        <v>31</v>
      </c>
      <c r="C110" s="247" t="s">
        <v>425</v>
      </c>
      <c r="D110" s="245" t="s">
        <v>426</v>
      </c>
      <c r="E110" s="235">
        <v>7</v>
      </c>
      <c r="F110" s="235">
        <v>7</v>
      </c>
      <c r="G110" s="235">
        <v>7</v>
      </c>
      <c r="H110" s="235">
        <v>7</v>
      </c>
      <c r="I110" s="235">
        <v>7</v>
      </c>
      <c r="J110" s="235">
        <v>7</v>
      </c>
      <c r="K110" s="235"/>
      <c r="L110" s="235">
        <v>2</v>
      </c>
      <c r="M110" s="235"/>
      <c r="N110" s="251"/>
      <c r="O110" s="251">
        <v>4</v>
      </c>
      <c r="P110" s="251">
        <v>2</v>
      </c>
      <c r="Q110" s="235"/>
      <c r="R110" s="235">
        <v>2</v>
      </c>
      <c r="S110" s="235">
        <f>SUM(L110:R110)</f>
        <v>10</v>
      </c>
      <c r="T110" s="232">
        <f>ROUND(S110*S$1/T$1,0)</f>
        <v>6</v>
      </c>
      <c r="U110" s="235" t="s">
        <v>427</v>
      </c>
      <c r="V110" s="262"/>
      <c r="W110" s="232" t="s">
        <v>38</v>
      </c>
      <c r="X110" s="232" t="s">
        <v>38</v>
      </c>
      <c r="Y110" s="235" t="s">
        <v>428</v>
      </c>
      <c r="Z110" s="235"/>
      <c r="AA110" s="235" t="s">
        <v>33</v>
      </c>
      <c r="AB110" s="214">
        <v>3</v>
      </c>
      <c r="AC110" s="214" t="s">
        <v>34</v>
      </c>
    </row>
    <row r="111" spans="1:29">
      <c r="A111" s="232" t="str">
        <f>_xlfn.CONCAT(B111,C111)</f>
        <v>ICC3102</v>
      </c>
      <c r="B111" s="232" t="s">
        <v>10</v>
      </c>
      <c r="C111" s="255">
        <v>3102</v>
      </c>
      <c r="D111" s="233" t="s">
        <v>407</v>
      </c>
      <c r="E111" s="232"/>
      <c r="F111" s="232"/>
      <c r="G111" s="232"/>
      <c r="H111" s="232"/>
      <c r="I111" s="232">
        <v>5</v>
      </c>
      <c r="J111" s="232"/>
      <c r="K111" s="232">
        <v>5</v>
      </c>
      <c r="L111" s="233">
        <v>2</v>
      </c>
      <c r="M111" s="233"/>
      <c r="N111" s="233">
        <v>2</v>
      </c>
      <c r="O111" s="233">
        <v>4</v>
      </c>
      <c r="P111" s="233"/>
      <c r="Q111" s="233"/>
      <c r="R111" s="233">
        <v>2</v>
      </c>
      <c r="S111" s="232">
        <v>10</v>
      </c>
      <c r="T111" s="232">
        <v>6</v>
      </c>
      <c r="U111" s="264" t="s">
        <v>56</v>
      </c>
      <c r="V111" s="252"/>
      <c r="W111" s="232" t="s">
        <v>38</v>
      </c>
      <c r="X111" s="232" t="s">
        <v>38</v>
      </c>
      <c r="Y111" s="232"/>
      <c r="Z111" s="235"/>
      <c r="AA111" s="232" t="s">
        <v>33</v>
      </c>
      <c r="AB111" s="214">
        <v>6</v>
      </c>
      <c r="AC111" s="214" t="s">
        <v>34</v>
      </c>
    </row>
    <row r="112" spans="1:29">
      <c r="A112" s="232" t="s">
        <v>429</v>
      </c>
      <c r="B112" s="233" t="s">
        <v>8</v>
      </c>
      <c r="C112" s="234" t="s">
        <v>188</v>
      </c>
      <c r="D112" s="233" t="s">
        <v>430</v>
      </c>
      <c r="E112" s="232"/>
      <c r="F112" s="232"/>
      <c r="G112" s="232" t="s">
        <v>360</v>
      </c>
      <c r="H112" s="232"/>
      <c r="I112" s="232"/>
      <c r="J112" s="232"/>
      <c r="K112" s="232"/>
      <c r="L112" s="245">
        <v>3</v>
      </c>
      <c r="M112" s="245">
        <v>2</v>
      </c>
      <c r="N112" s="245"/>
      <c r="O112" s="245">
        <v>2</v>
      </c>
      <c r="P112" s="245"/>
      <c r="Q112" s="245"/>
      <c r="R112" s="233">
        <v>3</v>
      </c>
      <c r="S112" s="232">
        <v>10</v>
      </c>
      <c r="T112" s="232">
        <v>6</v>
      </c>
      <c r="U112" s="233" t="s">
        <v>374</v>
      </c>
      <c r="V112" s="252"/>
      <c r="W112" s="232" t="s">
        <v>38</v>
      </c>
      <c r="X112" s="232"/>
      <c r="Y112" s="232"/>
      <c r="Z112" s="235"/>
      <c r="AA112" s="232" t="s">
        <v>430</v>
      </c>
      <c r="AB112" s="214">
        <v>6</v>
      </c>
      <c r="AC112" s="214" t="s">
        <v>34</v>
      </c>
    </row>
    <row r="113" spans="1:29">
      <c r="A113" s="232" t="str">
        <f>_xlfn.CONCAT(B113,C113)</f>
        <v>ICC4130</v>
      </c>
      <c r="B113" s="240" t="s">
        <v>10</v>
      </c>
      <c r="C113" s="247" t="s">
        <v>143</v>
      </c>
      <c r="D113" s="235" t="s">
        <v>341</v>
      </c>
      <c r="E113" s="232"/>
      <c r="F113" s="232"/>
      <c r="G113" s="232"/>
      <c r="H113" s="232"/>
      <c r="I113" s="232">
        <v>6</v>
      </c>
      <c r="J113" s="232"/>
      <c r="K113" s="232">
        <v>7</v>
      </c>
      <c r="L113" s="233">
        <v>2</v>
      </c>
      <c r="M113" s="233"/>
      <c r="N113" s="233">
        <v>3</v>
      </c>
      <c r="O113" s="233">
        <v>2</v>
      </c>
      <c r="P113" s="233">
        <v>1</v>
      </c>
      <c r="Q113" s="233"/>
      <c r="R113" s="233">
        <v>2</v>
      </c>
      <c r="S113" s="232">
        <v>10</v>
      </c>
      <c r="T113" s="232">
        <v>6</v>
      </c>
      <c r="U113" s="233" t="s">
        <v>431</v>
      </c>
      <c r="V113" s="252" t="s">
        <v>356</v>
      </c>
      <c r="W113" s="232" t="s">
        <v>38</v>
      </c>
      <c r="X113" s="232" t="s">
        <v>38</v>
      </c>
      <c r="Y113" s="232" t="s">
        <v>432</v>
      </c>
      <c r="Z113" s="235"/>
      <c r="AA113" s="232" t="s">
        <v>433</v>
      </c>
      <c r="AB113" s="214">
        <v>6</v>
      </c>
      <c r="AC113" s="214" t="s">
        <v>34</v>
      </c>
    </row>
    <row r="114" spans="1:29">
      <c r="A114" s="232" t="s">
        <v>434</v>
      </c>
      <c r="B114" s="232" t="s">
        <v>8</v>
      </c>
      <c r="C114" s="255">
        <v>4101</v>
      </c>
      <c r="D114" s="233" t="s">
        <v>435</v>
      </c>
      <c r="E114" s="232"/>
      <c r="F114" s="232"/>
      <c r="G114" s="232">
        <v>7</v>
      </c>
      <c r="H114" s="232"/>
      <c r="I114" s="232"/>
      <c r="J114" s="232"/>
      <c r="K114" s="232"/>
      <c r="L114" s="245">
        <v>3</v>
      </c>
      <c r="M114" s="245">
        <v>2</v>
      </c>
      <c r="N114" s="245"/>
      <c r="O114" s="245">
        <v>1</v>
      </c>
      <c r="P114" s="245"/>
      <c r="Q114" s="245">
        <v>1</v>
      </c>
      <c r="R114" s="233">
        <v>3</v>
      </c>
      <c r="S114" s="232">
        <v>10</v>
      </c>
      <c r="T114" s="232">
        <v>6</v>
      </c>
      <c r="U114" s="233" t="s">
        <v>337</v>
      </c>
      <c r="V114" s="252" t="s">
        <v>436</v>
      </c>
      <c r="W114" s="232" t="s">
        <v>38</v>
      </c>
      <c r="X114" s="232"/>
      <c r="Y114" s="232"/>
      <c r="Z114" s="235"/>
      <c r="AA114" s="232" t="s">
        <v>437</v>
      </c>
      <c r="AB114" s="214">
        <v>6</v>
      </c>
      <c r="AC114" s="214" t="s">
        <v>34</v>
      </c>
    </row>
    <row r="115" spans="1:29">
      <c r="A115" s="232" t="s">
        <v>438</v>
      </c>
      <c r="B115" s="233" t="s">
        <v>8</v>
      </c>
      <c r="C115" s="234" t="s">
        <v>439</v>
      </c>
      <c r="D115" s="232" t="s">
        <v>440</v>
      </c>
      <c r="E115" s="232"/>
      <c r="F115" s="232"/>
      <c r="G115" s="232" t="s">
        <v>371</v>
      </c>
      <c r="H115" s="232"/>
      <c r="I115" s="232"/>
      <c r="J115" s="232"/>
      <c r="K115" s="232"/>
      <c r="L115" s="235">
        <v>3</v>
      </c>
      <c r="M115" s="235">
        <v>2</v>
      </c>
      <c r="N115" s="235"/>
      <c r="O115" s="235">
        <v>1</v>
      </c>
      <c r="P115" s="235">
        <v>1</v>
      </c>
      <c r="Q115" s="235"/>
      <c r="R115" s="232">
        <v>3</v>
      </c>
      <c r="S115" s="232">
        <v>10</v>
      </c>
      <c r="T115" s="232">
        <v>6</v>
      </c>
      <c r="U115" s="232" t="s">
        <v>441</v>
      </c>
      <c r="V115" s="241" t="s">
        <v>264</v>
      </c>
      <c r="W115" s="232"/>
      <c r="X115" s="232" t="s">
        <v>38</v>
      </c>
      <c r="Y115" s="232"/>
      <c r="Z115" s="235"/>
      <c r="AA115" s="232" t="s">
        <v>440</v>
      </c>
      <c r="AB115" s="214">
        <v>6</v>
      </c>
      <c r="AC115" s="214" t="s">
        <v>34</v>
      </c>
    </row>
    <row r="116" spans="1:29">
      <c r="A116" s="232" t="s">
        <v>442</v>
      </c>
      <c r="B116" s="235" t="s">
        <v>8</v>
      </c>
      <c r="C116" s="247" t="s">
        <v>443</v>
      </c>
      <c r="D116" s="233" t="s">
        <v>444</v>
      </c>
      <c r="E116" s="232"/>
      <c r="F116" s="232"/>
      <c r="G116" s="232" t="s">
        <v>316</v>
      </c>
      <c r="H116" s="232"/>
      <c r="I116" s="232"/>
      <c r="J116" s="232"/>
      <c r="K116" s="232"/>
      <c r="L116" s="233">
        <v>3</v>
      </c>
      <c r="M116" s="233">
        <v>2</v>
      </c>
      <c r="N116" s="233"/>
      <c r="O116" s="233">
        <v>2</v>
      </c>
      <c r="P116" s="233"/>
      <c r="Q116" s="233"/>
      <c r="R116" s="233">
        <v>3</v>
      </c>
      <c r="S116" s="232">
        <v>10</v>
      </c>
      <c r="T116" s="232">
        <v>6</v>
      </c>
      <c r="U116" s="233" t="s">
        <v>445</v>
      </c>
      <c r="V116" s="252"/>
      <c r="W116" s="232"/>
      <c r="X116" s="232" t="s">
        <v>38</v>
      </c>
      <c r="Y116" s="232"/>
      <c r="Z116" s="235"/>
      <c r="AA116" s="232" t="s">
        <v>444</v>
      </c>
      <c r="AB116" s="214">
        <v>6</v>
      </c>
      <c r="AC116" s="214" t="s">
        <v>34</v>
      </c>
    </row>
    <row r="117" spans="1:29">
      <c r="A117" s="232" t="s">
        <v>446</v>
      </c>
      <c r="B117" s="232" t="s">
        <v>31</v>
      </c>
      <c r="C117" s="255">
        <v>4106</v>
      </c>
      <c r="D117" s="233" t="s">
        <v>447</v>
      </c>
      <c r="E117" s="232">
        <v>7</v>
      </c>
      <c r="F117" s="232">
        <v>7</v>
      </c>
      <c r="G117" s="232">
        <v>7</v>
      </c>
      <c r="H117" s="232">
        <v>7</v>
      </c>
      <c r="I117" s="232">
        <v>7</v>
      </c>
      <c r="J117" s="232">
        <v>7</v>
      </c>
      <c r="K117" s="235"/>
      <c r="L117" s="235"/>
      <c r="M117" s="235"/>
      <c r="N117" s="235"/>
      <c r="O117" s="235"/>
      <c r="P117" s="235"/>
      <c r="Q117" s="232"/>
      <c r="R117" s="232"/>
      <c r="S117" s="232"/>
      <c r="T117" s="232">
        <v>12</v>
      </c>
      <c r="U117" s="232" t="s">
        <v>448</v>
      </c>
      <c r="V117" s="232" t="s">
        <v>257</v>
      </c>
      <c r="W117" s="232" t="s">
        <v>38</v>
      </c>
      <c r="X117" s="232" t="s">
        <v>38</v>
      </c>
      <c r="Y117" s="232"/>
      <c r="Z117" s="235"/>
      <c r="AA117" s="232" t="s">
        <v>449</v>
      </c>
      <c r="AB117" s="214">
        <v>12</v>
      </c>
      <c r="AC117" s="214" t="s">
        <v>34</v>
      </c>
    </row>
    <row r="118" spans="1:29">
      <c r="A118" s="232" t="s">
        <v>450</v>
      </c>
      <c r="B118" s="233" t="s">
        <v>8</v>
      </c>
      <c r="C118" s="234">
        <v>3204</v>
      </c>
      <c r="D118" s="245" t="s">
        <v>451</v>
      </c>
      <c r="E118" s="232"/>
      <c r="F118" s="232"/>
      <c r="G118" s="232">
        <v>7</v>
      </c>
      <c r="H118" s="232"/>
      <c r="I118" s="232"/>
      <c r="J118" s="232"/>
      <c r="K118" s="232"/>
      <c r="L118" s="233">
        <v>3</v>
      </c>
      <c r="M118" s="245">
        <v>2</v>
      </c>
      <c r="N118" s="245">
        <v>1</v>
      </c>
      <c r="O118" s="233"/>
      <c r="P118" s="233"/>
      <c r="Q118" s="233">
        <v>2</v>
      </c>
      <c r="R118" s="233">
        <v>3</v>
      </c>
      <c r="S118" s="232">
        <f>SUM(L118:R118)</f>
        <v>11</v>
      </c>
      <c r="T118" s="232">
        <f>ROUND(S118*S$1/T$1,0)</f>
        <v>7</v>
      </c>
      <c r="U118" s="233" t="s">
        <v>338</v>
      </c>
      <c r="V118" s="252"/>
      <c r="W118" s="232" t="s">
        <v>38</v>
      </c>
      <c r="X118" s="232"/>
      <c r="Y118" s="232"/>
      <c r="Z118" s="235"/>
      <c r="AA118" s="233" t="s">
        <v>451</v>
      </c>
      <c r="AB118" s="214">
        <v>6</v>
      </c>
      <c r="AC118" s="214" t="s">
        <v>34</v>
      </c>
    </row>
    <row r="119" spans="1:29">
      <c r="A119" s="232" t="str">
        <f>_xlfn.CONCAT(B119,C119)</f>
        <v>ICC4204</v>
      </c>
      <c r="B119" s="240" t="s">
        <v>10</v>
      </c>
      <c r="C119" s="248">
        <v>4204</v>
      </c>
      <c r="D119" s="233" t="s">
        <v>421</v>
      </c>
      <c r="E119" s="232"/>
      <c r="F119" s="232"/>
      <c r="G119" s="232"/>
      <c r="H119" s="232"/>
      <c r="I119" s="232">
        <v>8</v>
      </c>
      <c r="J119" s="232"/>
      <c r="K119" s="232"/>
      <c r="L119" s="233">
        <v>3</v>
      </c>
      <c r="M119" s="233"/>
      <c r="N119" s="233"/>
      <c r="O119" s="233">
        <v>4</v>
      </c>
      <c r="P119" s="233">
        <v>1</v>
      </c>
      <c r="Q119" s="233">
        <v>1</v>
      </c>
      <c r="R119" s="233">
        <v>1</v>
      </c>
      <c r="S119" s="232">
        <v>10</v>
      </c>
      <c r="T119" s="232">
        <v>6</v>
      </c>
      <c r="U119" s="264" t="s">
        <v>452</v>
      </c>
      <c r="V119" s="252" t="s">
        <v>156</v>
      </c>
      <c r="W119" s="232"/>
      <c r="X119" s="232" t="s">
        <v>38</v>
      </c>
      <c r="Y119" s="232"/>
      <c r="Z119" s="235"/>
      <c r="AA119" s="232" t="s">
        <v>453</v>
      </c>
      <c r="AB119" s="214">
        <v>6</v>
      </c>
      <c r="AC119" s="214" t="s">
        <v>34</v>
      </c>
    </row>
    <row r="120" spans="1:29">
      <c r="A120" s="232" t="s">
        <v>454</v>
      </c>
      <c r="B120" s="233" t="s">
        <v>8</v>
      </c>
      <c r="C120" s="234">
        <v>4102</v>
      </c>
      <c r="D120" s="233" t="s">
        <v>455</v>
      </c>
      <c r="E120" s="232"/>
      <c r="F120" s="232"/>
      <c r="G120" s="232">
        <v>6</v>
      </c>
      <c r="H120" s="232"/>
      <c r="I120" s="232"/>
      <c r="J120" s="232"/>
      <c r="K120" s="232"/>
      <c r="L120" s="233">
        <v>3</v>
      </c>
      <c r="M120" s="233"/>
      <c r="N120" s="233">
        <v>2</v>
      </c>
      <c r="O120" s="233"/>
      <c r="P120" s="233"/>
      <c r="Q120" s="233">
        <v>1</v>
      </c>
      <c r="R120" s="233">
        <v>4</v>
      </c>
      <c r="S120" s="232">
        <f>SUM(L120:R120)</f>
        <v>10</v>
      </c>
      <c r="T120" s="232">
        <f>ROUND(S120*S$1/T$1,0)</f>
        <v>6</v>
      </c>
      <c r="U120" s="233" t="s">
        <v>52</v>
      </c>
      <c r="V120" s="252" t="s">
        <v>135</v>
      </c>
      <c r="W120" s="232"/>
      <c r="X120" s="232" t="s">
        <v>38</v>
      </c>
      <c r="Y120" s="232"/>
      <c r="Z120" s="235"/>
      <c r="AA120" s="233" t="s">
        <v>455</v>
      </c>
      <c r="AB120" s="214">
        <v>6</v>
      </c>
      <c r="AC120" s="214" t="s">
        <v>34</v>
      </c>
    </row>
    <row r="121" spans="1:29">
      <c r="A121" s="232" t="s">
        <v>456</v>
      </c>
      <c r="B121" s="240" t="s">
        <v>8</v>
      </c>
      <c r="C121" s="248">
        <v>3101</v>
      </c>
      <c r="D121" s="245" t="s">
        <v>338</v>
      </c>
      <c r="E121" s="235"/>
      <c r="F121" s="235"/>
      <c r="G121" s="235">
        <v>5</v>
      </c>
      <c r="H121" s="235"/>
      <c r="I121" s="235"/>
      <c r="J121" s="235"/>
      <c r="K121" s="235"/>
      <c r="L121" s="245">
        <v>3</v>
      </c>
      <c r="M121" s="245">
        <v>2</v>
      </c>
      <c r="N121" s="245"/>
      <c r="O121" s="245">
        <v>1</v>
      </c>
      <c r="P121" s="245"/>
      <c r="Q121" s="245">
        <v>1</v>
      </c>
      <c r="R121" s="245">
        <v>3</v>
      </c>
      <c r="S121" s="235">
        <f>SUM(L121:R121)</f>
        <v>10</v>
      </c>
      <c r="T121" s="235">
        <f>ROUND(S121*S$1/T$1,0)</f>
        <v>6</v>
      </c>
      <c r="U121" s="245" t="s">
        <v>457</v>
      </c>
      <c r="V121" s="252" t="s">
        <v>135</v>
      </c>
      <c r="W121" s="232" t="s">
        <v>38</v>
      </c>
      <c r="X121" s="232"/>
      <c r="Y121" s="232"/>
      <c r="Z121" s="235" t="s">
        <v>458</v>
      </c>
      <c r="AA121" s="233" t="s">
        <v>338</v>
      </c>
      <c r="AB121" s="214">
        <v>6</v>
      </c>
      <c r="AC121" s="214" t="s">
        <v>34</v>
      </c>
    </row>
    <row r="122" spans="1:29">
      <c r="A122" s="232" t="s">
        <v>459</v>
      </c>
      <c r="B122" s="245" t="s">
        <v>8</v>
      </c>
      <c r="C122" s="246">
        <v>4201</v>
      </c>
      <c r="D122" s="245" t="s">
        <v>460</v>
      </c>
      <c r="E122" s="235"/>
      <c r="F122" s="235"/>
      <c r="G122" s="235">
        <v>8</v>
      </c>
      <c r="H122" s="235"/>
      <c r="I122" s="235"/>
      <c r="J122" s="235"/>
      <c r="K122" s="235"/>
      <c r="L122" s="235">
        <v>3</v>
      </c>
      <c r="M122" s="235"/>
      <c r="N122" s="235">
        <v>2</v>
      </c>
      <c r="O122" s="235">
        <v>6</v>
      </c>
      <c r="P122" s="235">
        <v>1</v>
      </c>
      <c r="Q122" s="235">
        <v>1</v>
      </c>
      <c r="R122" s="235">
        <v>2</v>
      </c>
      <c r="S122" s="235">
        <f>SUM(L122:R122)</f>
        <v>15</v>
      </c>
      <c r="T122" s="235">
        <f>ROUND(S122*S$1/T$1,0)</f>
        <v>9</v>
      </c>
      <c r="U122" s="245" t="s">
        <v>461</v>
      </c>
      <c r="V122" s="241" t="s">
        <v>156</v>
      </c>
      <c r="W122" s="232"/>
      <c r="X122" s="232" t="s">
        <v>38</v>
      </c>
      <c r="Y122" s="232"/>
      <c r="Z122" s="235"/>
      <c r="AA122" s="232" t="s">
        <v>33</v>
      </c>
      <c r="AB122" s="214">
        <v>9</v>
      </c>
      <c r="AC122" s="214" t="s">
        <v>34</v>
      </c>
    </row>
    <row r="123" spans="1:29">
      <c r="A123" s="232" t="s">
        <v>462</v>
      </c>
      <c r="B123" s="240" t="s">
        <v>31</v>
      </c>
      <c r="C123" s="248">
        <v>6104</v>
      </c>
      <c r="D123" s="233" t="s">
        <v>463</v>
      </c>
      <c r="E123" s="232">
        <v>11</v>
      </c>
      <c r="F123" s="232">
        <v>11</v>
      </c>
      <c r="G123" s="232">
        <v>11</v>
      </c>
      <c r="H123" s="232">
        <v>11</v>
      </c>
      <c r="I123" s="232">
        <v>11</v>
      </c>
      <c r="J123" s="232">
        <v>11</v>
      </c>
      <c r="K123" s="232"/>
      <c r="L123" s="232"/>
      <c r="M123" s="232"/>
      <c r="N123" s="232"/>
      <c r="O123" s="232"/>
      <c r="P123" s="232"/>
      <c r="Q123" s="232"/>
      <c r="R123" s="232"/>
      <c r="S123" s="232"/>
      <c r="T123" s="232">
        <v>12</v>
      </c>
      <c r="U123" s="232" t="s">
        <v>464</v>
      </c>
      <c r="V123" s="232" t="s">
        <v>465</v>
      </c>
      <c r="W123" s="232" t="s">
        <v>38</v>
      </c>
      <c r="X123" s="232" t="s">
        <v>38</v>
      </c>
      <c r="Y123" s="232"/>
      <c r="Z123" s="235"/>
      <c r="AA123" s="232" t="s">
        <v>466</v>
      </c>
      <c r="AB123" s="214">
        <v>12</v>
      </c>
      <c r="AC123" s="214" t="s">
        <v>34</v>
      </c>
    </row>
    <row r="124" spans="1:29">
      <c r="A124" s="232" t="s">
        <v>467</v>
      </c>
      <c r="B124" s="233" t="s">
        <v>31</v>
      </c>
      <c r="C124" s="234">
        <v>5203</v>
      </c>
      <c r="D124" s="236" t="s">
        <v>468</v>
      </c>
      <c r="E124" s="232">
        <v>10</v>
      </c>
      <c r="F124" s="232">
        <v>10</v>
      </c>
      <c r="G124" s="232">
        <v>10</v>
      </c>
      <c r="H124" s="232">
        <v>10</v>
      </c>
      <c r="I124" s="232">
        <v>10</v>
      </c>
      <c r="J124" s="232">
        <v>10</v>
      </c>
      <c r="K124" s="232"/>
      <c r="L124" s="244">
        <v>2</v>
      </c>
      <c r="M124" s="244"/>
      <c r="N124" s="236"/>
      <c r="O124" s="236">
        <v>4</v>
      </c>
      <c r="P124" s="236">
        <v>1</v>
      </c>
      <c r="Q124" s="236"/>
      <c r="R124" s="244"/>
      <c r="S124" s="232">
        <f t="shared" ref="S124:S130" si="6">SUM(L124:R124)</f>
        <v>7</v>
      </c>
      <c r="T124" s="232">
        <f t="shared" ref="T124:T130" si="7">ROUND(S124*S$1/T$1,0)</f>
        <v>4</v>
      </c>
      <c r="U124" s="232" t="s">
        <v>469</v>
      </c>
      <c r="V124" s="241" t="s">
        <v>186</v>
      </c>
      <c r="W124" s="232" t="s">
        <v>38</v>
      </c>
      <c r="X124" s="232" t="s">
        <v>38</v>
      </c>
      <c r="Y124" s="232"/>
      <c r="Z124" s="235"/>
      <c r="AA124" s="232" t="s">
        <v>470</v>
      </c>
      <c r="AB124" s="214">
        <v>4</v>
      </c>
      <c r="AC124" s="214" t="s">
        <v>34</v>
      </c>
    </row>
    <row r="125" spans="1:29">
      <c r="A125" s="232" t="s">
        <v>471</v>
      </c>
      <c r="B125" s="233" t="s">
        <v>8</v>
      </c>
      <c r="C125" s="234">
        <v>4202</v>
      </c>
      <c r="D125" s="233" t="s">
        <v>472</v>
      </c>
      <c r="E125" s="232"/>
      <c r="F125" s="232"/>
      <c r="G125" s="232">
        <v>8</v>
      </c>
      <c r="H125" s="232"/>
      <c r="I125" s="232"/>
      <c r="J125" s="232"/>
      <c r="K125" s="232"/>
      <c r="L125" s="233">
        <v>3</v>
      </c>
      <c r="M125" s="233"/>
      <c r="N125" s="233"/>
      <c r="O125" s="233">
        <v>1</v>
      </c>
      <c r="P125" s="233"/>
      <c r="Q125" s="233">
        <v>2</v>
      </c>
      <c r="R125" s="233">
        <v>4</v>
      </c>
      <c r="S125" s="232">
        <f t="shared" si="6"/>
        <v>10</v>
      </c>
      <c r="T125" s="232">
        <f t="shared" si="7"/>
        <v>6</v>
      </c>
      <c r="U125" s="233" t="s">
        <v>473</v>
      </c>
      <c r="V125" s="252"/>
      <c r="W125" s="232"/>
      <c r="X125" s="232" t="s">
        <v>38</v>
      </c>
      <c r="Y125" s="232"/>
      <c r="Z125" s="235"/>
      <c r="AA125" s="232" t="s">
        <v>33</v>
      </c>
      <c r="AB125" s="214">
        <v>6</v>
      </c>
      <c r="AC125" s="214" t="s">
        <v>34</v>
      </c>
    </row>
    <row r="126" spans="1:29">
      <c r="A126" s="232" t="s">
        <v>474</v>
      </c>
      <c r="B126" s="232" t="s">
        <v>31</v>
      </c>
      <c r="C126" s="255">
        <v>6103</v>
      </c>
      <c r="D126" s="236" t="s">
        <v>475</v>
      </c>
      <c r="E126" s="232">
        <v>11</v>
      </c>
      <c r="F126" s="232">
        <v>11</v>
      </c>
      <c r="G126" s="232">
        <v>11</v>
      </c>
      <c r="H126" s="232">
        <v>11</v>
      </c>
      <c r="I126" s="232">
        <v>11</v>
      </c>
      <c r="J126" s="232">
        <v>11</v>
      </c>
      <c r="K126" s="232"/>
      <c r="L126" s="239">
        <v>2</v>
      </c>
      <c r="M126" s="239"/>
      <c r="N126" s="239"/>
      <c r="O126" s="240">
        <v>28</v>
      </c>
      <c r="P126" s="240"/>
      <c r="Q126" s="240"/>
      <c r="R126" s="239"/>
      <c r="S126" s="232">
        <f t="shared" si="6"/>
        <v>30</v>
      </c>
      <c r="T126" s="232">
        <f t="shared" si="7"/>
        <v>18</v>
      </c>
      <c r="U126" s="232" t="s">
        <v>468</v>
      </c>
      <c r="V126" s="241" t="s">
        <v>476</v>
      </c>
      <c r="W126" s="232" t="s">
        <v>38</v>
      </c>
      <c r="X126" s="232" t="s">
        <v>38</v>
      </c>
      <c r="Y126" s="232"/>
      <c r="Z126" s="235"/>
      <c r="AA126" s="232" t="s">
        <v>477</v>
      </c>
      <c r="AB126" s="214">
        <v>18</v>
      </c>
      <c r="AC126" s="214" t="s">
        <v>34</v>
      </c>
    </row>
    <row r="127" spans="1:29">
      <c r="A127" s="232" t="s">
        <v>478</v>
      </c>
      <c r="B127" s="233" t="s">
        <v>31</v>
      </c>
      <c r="C127" s="234">
        <v>5206</v>
      </c>
      <c r="D127" s="236" t="s">
        <v>479</v>
      </c>
      <c r="E127" s="232">
        <v>10</v>
      </c>
      <c r="F127" s="232">
        <v>10</v>
      </c>
      <c r="G127" s="232">
        <v>10</v>
      </c>
      <c r="H127" s="232">
        <v>10</v>
      </c>
      <c r="I127" s="232">
        <v>10</v>
      </c>
      <c r="J127" s="232">
        <v>10</v>
      </c>
      <c r="K127" s="232"/>
      <c r="L127" s="244">
        <v>2</v>
      </c>
      <c r="M127" s="244"/>
      <c r="N127" s="236"/>
      <c r="O127" s="236">
        <v>1</v>
      </c>
      <c r="P127" s="236"/>
      <c r="Q127" s="236">
        <v>1</v>
      </c>
      <c r="R127" s="244"/>
      <c r="S127" s="232">
        <f t="shared" si="6"/>
        <v>4</v>
      </c>
      <c r="T127" s="232">
        <f t="shared" si="7"/>
        <v>2</v>
      </c>
      <c r="U127" s="232" t="s">
        <v>480</v>
      </c>
      <c r="V127" s="241" t="s">
        <v>156</v>
      </c>
      <c r="W127" s="232" t="s">
        <v>38</v>
      </c>
      <c r="X127" s="232" t="s">
        <v>38</v>
      </c>
      <c r="Y127" s="232"/>
      <c r="Z127" s="235"/>
      <c r="AA127" s="232" t="s">
        <v>33</v>
      </c>
      <c r="AB127" s="214">
        <v>2</v>
      </c>
      <c r="AC127" s="214" t="s">
        <v>34</v>
      </c>
    </row>
    <row r="128" spans="1:29">
      <c r="A128" s="232" t="s">
        <v>481</v>
      </c>
      <c r="B128" s="233" t="s">
        <v>8</v>
      </c>
      <c r="C128" s="234" t="s">
        <v>482</v>
      </c>
      <c r="D128" s="235" t="s">
        <v>483</v>
      </c>
      <c r="E128" s="235"/>
      <c r="F128" s="235"/>
      <c r="G128" s="235" t="s">
        <v>484</v>
      </c>
      <c r="H128" s="235"/>
      <c r="I128" s="235"/>
      <c r="J128" s="235"/>
      <c r="K128" s="235"/>
      <c r="L128" s="235">
        <v>3</v>
      </c>
      <c r="M128" s="235"/>
      <c r="N128" s="235"/>
      <c r="O128" s="235">
        <v>6</v>
      </c>
      <c r="P128" s="235">
        <v>1</v>
      </c>
      <c r="Q128" s="235"/>
      <c r="R128" s="235"/>
      <c r="S128" s="235">
        <f t="shared" si="6"/>
        <v>10</v>
      </c>
      <c r="T128" s="235">
        <f t="shared" si="7"/>
        <v>6</v>
      </c>
      <c r="U128" s="235" t="s">
        <v>485</v>
      </c>
      <c r="V128" s="232"/>
      <c r="W128" s="232" t="s">
        <v>38</v>
      </c>
      <c r="X128" s="232"/>
      <c r="Y128" s="235"/>
      <c r="Z128" s="235"/>
      <c r="AA128" s="232"/>
    </row>
    <row r="129" spans="1:29">
      <c r="A129" s="232" t="s">
        <v>486</v>
      </c>
      <c r="B129" s="245" t="s">
        <v>8</v>
      </c>
      <c r="C129" s="246" t="s">
        <v>487</v>
      </c>
      <c r="D129" s="235" t="s">
        <v>488</v>
      </c>
      <c r="E129" s="235"/>
      <c r="F129" s="235"/>
      <c r="G129" s="235" t="s">
        <v>489</v>
      </c>
      <c r="H129" s="235"/>
      <c r="I129" s="235"/>
      <c r="J129" s="235"/>
      <c r="K129" s="235"/>
      <c r="L129" s="235">
        <v>3</v>
      </c>
      <c r="M129" s="235"/>
      <c r="N129" s="235"/>
      <c r="O129" s="235">
        <v>6</v>
      </c>
      <c r="P129" s="235">
        <v>1</v>
      </c>
      <c r="Q129" s="235"/>
      <c r="R129" s="235"/>
      <c r="S129" s="235">
        <f t="shared" si="6"/>
        <v>10</v>
      </c>
      <c r="T129" s="235">
        <f t="shared" si="7"/>
        <v>6</v>
      </c>
      <c r="U129" s="235" t="s">
        <v>490</v>
      </c>
      <c r="V129" s="241" t="s">
        <v>186</v>
      </c>
      <c r="W129" s="232" t="s">
        <v>38</v>
      </c>
      <c r="X129" s="232"/>
      <c r="Y129" s="232"/>
      <c r="Z129" s="235"/>
      <c r="AA129" s="232" t="s">
        <v>491</v>
      </c>
      <c r="AB129" s="214">
        <v>6</v>
      </c>
      <c r="AC129" s="214" t="s">
        <v>34</v>
      </c>
    </row>
    <row r="130" spans="1:29">
      <c r="A130" s="232" t="s">
        <v>492</v>
      </c>
      <c r="B130" s="232" t="s">
        <v>11</v>
      </c>
      <c r="C130" s="255">
        <v>3102</v>
      </c>
      <c r="D130" s="232" t="s">
        <v>493</v>
      </c>
      <c r="E130" s="232"/>
      <c r="F130" s="232"/>
      <c r="G130" s="232"/>
      <c r="H130" s="232"/>
      <c r="I130" s="232"/>
      <c r="J130" s="232">
        <v>5</v>
      </c>
      <c r="K130" s="232"/>
      <c r="L130" s="232">
        <v>3</v>
      </c>
      <c r="M130" s="232">
        <v>2</v>
      </c>
      <c r="N130" s="232">
        <v>0</v>
      </c>
      <c r="O130" s="232">
        <v>1</v>
      </c>
      <c r="P130" s="232"/>
      <c r="Q130" s="232">
        <v>1</v>
      </c>
      <c r="R130" s="232">
        <v>3</v>
      </c>
      <c r="S130" s="232">
        <f t="shared" si="6"/>
        <v>10</v>
      </c>
      <c r="T130" s="232">
        <f t="shared" si="7"/>
        <v>6</v>
      </c>
      <c r="U130" s="232" t="s">
        <v>107</v>
      </c>
      <c r="V130" s="232"/>
      <c r="W130" s="232" t="s">
        <v>38</v>
      </c>
      <c r="X130" s="232"/>
      <c r="Y130" s="232" t="s">
        <v>494</v>
      </c>
      <c r="Z130" s="235" t="s">
        <v>495</v>
      </c>
      <c r="AA130" s="232" t="s">
        <v>495</v>
      </c>
      <c r="AB130" s="214">
        <v>6</v>
      </c>
      <c r="AC130" s="214" t="s">
        <v>34</v>
      </c>
    </row>
    <row r="131" ht="28.5" spans="1:29">
      <c r="A131" s="232" t="str">
        <f>_xlfn.CONCAT(B131,C131)</f>
        <v>ICC4205</v>
      </c>
      <c r="B131" s="236" t="s">
        <v>10</v>
      </c>
      <c r="C131" s="237" t="s">
        <v>174</v>
      </c>
      <c r="D131" s="235" t="s">
        <v>496</v>
      </c>
      <c r="E131" s="232"/>
      <c r="F131" s="232"/>
      <c r="G131" s="232"/>
      <c r="H131" s="232"/>
      <c r="I131" s="232">
        <v>8</v>
      </c>
      <c r="J131" s="232"/>
      <c r="K131" s="232"/>
      <c r="L131" s="232">
        <v>2</v>
      </c>
      <c r="M131" s="232"/>
      <c r="N131" s="232"/>
      <c r="O131" s="232">
        <v>12</v>
      </c>
      <c r="P131" s="232">
        <v>1</v>
      </c>
      <c r="Q131" s="232"/>
      <c r="R131" s="232"/>
      <c r="S131" s="232">
        <v>15</v>
      </c>
      <c r="T131" s="232">
        <v>9</v>
      </c>
      <c r="U131" s="233" t="s">
        <v>497</v>
      </c>
      <c r="V131" s="241" t="s">
        <v>386</v>
      </c>
      <c r="W131" s="232"/>
      <c r="X131" s="232" t="s">
        <v>38</v>
      </c>
      <c r="Y131" s="232" t="s">
        <v>498</v>
      </c>
      <c r="Z131" s="235"/>
      <c r="AA131" s="232" t="s">
        <v>499</v>
      </c>
      <c r="AB131" s="214">
        <v>9</v>
      </c>
      <c r="AC131" s="214" t="s">
        <v>34</v>
      </c>
    </row>
    <row r="132" spans="1:29">
      <c r="A132" s="232" t="s">
        <v>500</v>
      </c>
      <c r="B132" s="235" t="s">
        <v>11</v>
      </c>
      <c r="C132" s="247" t="s">
        <v>501</v>
      </c>
      <c r="D132" s="232" t="s">
        <v>502</v>
      </c>
      <c r="E132" s="232"/>
      <c r="F132" s="232"/>
      <c r="G132" s="232"/>
      <c r="H132" s="232"/>
      <c r="I132" s="232"/>
      <c r="J132" s="232">
        <v>6</v>
      </c>
      <c r="K132" s="232"/>
      <c r="L132" s="233">
        <v>3</v>
      </c>
      <c r="M132" s="233">
        <v>2</v>
      </c>
      <c r="N132" s="233">
        <v>2</v>
      </c>
      <c r="O132" s="233"/>
      <c r="P132" s="233"/>
      <c r="Q132" s="233">
        <v>1</v>
      </c>
      <c r="R132" s="233">
        <v>3</v>
      </c>
      <c r="S132" s="232">
        <f>SUM(L132:R132)</f>
        <v>11</v>
      </c>
      <c r="T132" s="232">
        <f>ROUND(S132*S$1/T$1,0)</f>
        <v>7</v>
      </c>
      <c r="U132" s="233" t="s">
        <v>503</v>
      </c>
      <c r="V132" s="252"/>
      <c r="W132" s="232"/>
      <c r="X132" s="232" t="s">
        <v>38</v>
      </c>
      <c r="Y132" s="232" t="s">
        <v>504</v>
      </c>
      <c r="Z132" s="235"/>
      <c r="AA132" s="232" t="s">
        <v>33</v>
      </c>
      <c r="AB132" s="214">
        <v>6</v>
      </c>
      <c r="AC132" s="214" t="s">
        <v>34</v>
      </c>
    </row>
    <row r="133" spans="1:29">
      <c r="A133" s="232" t="s">
        <v>505</v>
      </c>
      <c r="B133" s="235" t="s">
        <v>8</v>
      </c>
      <c r="C133" s="247">
        <v>4010</v>
      </c>
      <c r="D133" s="235" t="s">
        <v>506</v>
      </c>
      <c r="E133" s="232"/>
      <c r="F133" s="232"/>
      <c r="G133" s="232"/>
      <c r="H133" s="232"/>
      <c r="I133" s="232"/>
      <c r="J133" s="232"/>
      <c r="K133" s="232">
        <v>5</v>
      </c>
      <c r="L133" s="232">
        <v>3</v>
      </c>
      <c r="M133" s="232">
        <v>2</v>
      </c>
      <c r="N133" s="232"/>
      <c r="O133" s="232">
        <v>2</v>
      </c>
      <c r="P133" s="232"/>
      <c r="Q133" s="232"/>
      <c r="R133" s="232">
        <v>3</v>
      </c>
      <c r="S133" s="232">
        <f>SUM(L133:R133)</f>
        <v>10</v>
      </c>
      <c r="T133" s="232">
        <f>ROUND(S133*S$1/T$1,0)</f>
        <v>6</v>
      </c>
      <c r="U133" s="232" t="s">
        <v>104</v>
      </c>
      <c r="V133" s="241"/>
      <c r="W133" s="232" t="s">
        <v>38</v>
      </c>
      <c r="Y133" s="232"/>
      <c r="Z133" s="235"/>
      <c r="AA133" s="232" t="s">
        <v>507</v>
      </c>
      <c r="AB133" s="214">
        <v>6</v>
      </c>
      <c r="AC133" s="214" t="s">
        <v>34</v>
      </c>
    </row>
    <row r="134" spans="1:29">
      <c r="A134" s="232" t="s">
        <v>508</v>
      </c>
      <c r="B134" s="235" t="s">
        <v>8</v>
      </c>
      <c r="C134" s="247" t="s">
        <v>509</v>
      </c>
      <c r="D134" s="235" t="s">
        <v>510</v>
      </c>
      <c r="E134" s="235"/>
      <c r="F134" s="235"/>
      <c r="G134" s="235"/>
      <c r="H134" s="235"/>
      <c r="I134" s="235"/>
      <c r="J134" s="235"/>
      <c r="K134" s="235">
        <v>6</v>
      </c>
      <c r="L134" s="235">
        <v>3</v>
      </c>
      <c r="M134" s="235">
        <v>2</v>
      </c>
      <c r="N134" s="235"/>
      <c r="O134" s="235">
        <v>1</v>
      </c>
      <c r="P134" s="235">
        <v>1</v>
      </c>
      <c r="Q134" s="235">
        <v>1</v>
      </c>
      <c r="R134" s="235">
        <v>2</v>
      </c>
      <c r="S134" s="235">
        <f>SUM(L134:R134)</f>
        <v>10</v>
      </c>
      <c r="T134" s="232">
        <f>ROUND(S134*S$1/T$1,0)</f>
        <v>6</v>
      </c>
      <c r="U134" s="235" t="s">
        <v>506</v>
      </c>
      <c r="V134" s="262"/>
      <c r="W134" s="235"/>
      <c r="X134" s="232" t="s">
        <v>38</v>
      </c>
      <c r="Y134" s="235" t="s">
        <v>510</v>
      </c>
      <c r="Z134" s="235"/>
      <c r="AA134" s="235" t="s">
        <v>511</v>
      </c>
      <c r="AB134" s="214">
        <v>6</v>
      </c>
      <c r="AC134" s="214" t="s">
        <v>34</v>
      </c>
    </row>
    <row r="135" spans="1:29">
      <c r="A135" s="232" t="s">
        <v>512</v>
      </c>
      <c r="B135" s="245" t="s">
        <v>8</v>
      </c>
      <c r="C135" s="246">
        <v>4206</v>
      </c>
      <c r="D135" s="235" t="s">
        <v>513</v>
      </c>
      <c r="E135" s="235"/>
      <c r="F135" s="235"/>
      <c r="G135" s="235"/>
      <c r="H135" s="235"/>
      <c r="I135" s="235"/>
      <c r="J135" s="235"/>
      <c r="K135" s="235">
        <v>7</v>
      </c>
      <c r="L135" s="251">
        <v>2</v>
      </c>
      <c r="M135" s="235"/>
      <c r="N135" s="251"/>
      <c r="O135" s="235">
        <v>5</v>
      </c>
      <c r="P135" s="235">
        <v>1</v>
      </c>
      <c r="Q135" s="235"/>
      <c r="R135" s="251">
        <v>2</v>
      </c>
      <c r="S135" s="235">
        <f>SUM(L135:R135)</f>
        <v>10</v>
      </c>
      <c r="T135" s="232">
        <f>ROUND(S135*S$1/T$1,0)</f>
        <v>6</v>
      </c>
      <c r="U135" s="235" t="s">
        <v>514</v>
      </c>
      <c r="V135" s="262"/>
      <c r="W135" s="232" t="s">
        <v>38</v>
      </c>
      <c r="X135" s="235"/>
      <c r="Y135" s="235"/>
      <c r="Z135" s="235"/>
      <c r="AA135" s="235" t="s">
        <v>513</v>
      </c>
      <c r="AB135" s="214">
        <v>6</v>
      </c>
      <c r="AC135" s="214" t="s">
        <v>34</v>
      </c>
    </row>
    <row r="136" spans="1:29">
      <c r="A136" s="232" t="str">
        <f>_xlfn.CONCAT(B136,C136)</f>
        <v>ICC5107</v>
      </c>
      <c r="B136" s="233" t="s">
        <v>10</v>
      </c>
      <c r="C136" s="263" t="s">
        <v>183</v>
      </c>
      <c r="D136" s="245" t="s">
        <v>515</v>
      </c>
      <c r="E136" s="232"/>
      <c r="F136" s="232"/>
      <c r="G136" s="232"/>
      <c r="H136" s="232"/>
      <c r="I136" s="232">
        <v>9</v>
      </c>
      <c r="J136" s="232"/>
      <c r="K136" s="232"/>
      <c r="L136" s="233">
        <v>2</v>
      </c>
      <c r="M136" s="233"/>
      <c r="N136" s="233">
        <v>2</v>
      </c>
      <c r="O136" s="233">
        <v>2</v>
      </c>
      <c r="P136" s="233"/>
      <c r="Q136" s="233"/>
      <c r="R136" s="233">
        <v>4</v>
      </c>
      <c r="S136" s="232">
        <v>10</v>
      </c>
      <c r="T136" s="232">
        <v>6</v>
      </c>
      <c r="U136" s="233" t="s">
        <v>516</v>
      </c>
      <c r="V136" s="252" t="s">
        <v>135</v>
      </c>
      <c r="W136" s="232" t="s">
        <v>38</v>
      </c>
      <c r="X136" s="232"/>
      <c r="Y136" s="233" t="s">
        <v>517</v>
      </c>
      <c r="Z136" s="235"/>
      <c r="AA136" s="232" t="s">
        <v>213</v>
      </c>
      <c r="AB136" s="214">
        <v>6</v>
      </c>
      <c r="AC136" s="214" t="s">
        <v>34</v>
      </c>
    </row>
    <row r="137" spans="1:29">
      <c r="A137" s="232" t="str">
        <f>_xlfn.CONCAT(B137,C137)</f>
        <v>ICC3201</v>
      </c>
      <c r="B137" s="233" t="s">
        <v>10</v>
      </c>
      <c r="C137" s="234">
        <v>3201</v>
      </c>
      <c r="D137" s="233" t="s">
        <v>518</v>
      </c>
      <c r="E137" s="232"/>
      <c r="F137" s="232"/>
      <c r="G137" s="232"/>
      <c r="H137" s="232"/>
      <c r="I137" s="232">
        <v>6</v>
      </c>
      <c r="J137" s="232"/>
      <c r="K137" s="232"/>
      <c r="L137" s="233">
        <v>3</v>
      </c>
      <c r="M137" s="233"/>
      <c r="N137" s="233"/>
      <c r="O137" s="233">
        <v>4</v>
      </c>
      <c r="P137" s="233"/>
      <c r="Q137" s="233"/>
      <c r="R137" s="233">
        <v>3</v>
      </c>
      <c r="S137" s="232">
        <v>10</v>
      </c>
      <c r="T137" s="232">
        <v>6</v>
      </c>
      <c r="U137" s="264" t="s">
        <v>407</v>
      </c>
      <c r="V137" s="252"/>
      <c r="W137" s="232"/>
      <c r="X137" s="232" t="s">
        <v>38</v>
      </c>
      <c r="Y137" s="232"/>
      <c r="Z137" s="235"/>
      <c r="AA137" s="233" t="s">
        <v>518</v>
      </c>
      <c r="AB137" s="214">
        <v>6</v>
      </c>
      <c r="AC137" s="214" t="s">
        <v>34</v>
      </c>
    </row>
    <row r="138" ht="28.5" spans="1:29">
      <c r="A138" s="232" t="str">
        <f>_xlfn.CONCAT(B138,C138)</f>
        <v>ICC5204</v>
      </c>
      <c r="B138" s="233" t="s">
        <v>10</v>
      </c>
      <c r="C138" s="234" t="s">
        <v>204</v>
      </c>
      <c r="D138" s="245" t="s">
        <v>519</v>
      </c>
      <c r="E138" s="232"/>
      <c r="F138" s="232"/>
      <c r="G138" s="232"/>
      <c r="H138" s="232"/>
      <c r="I138" s="232">
        <v>10</v>
      </c>
      <c r="J138" s="232"/>
      <c r="K138" s="232"/>
      <c r="L138" s="233">
        <v>2</v>
      </c>
      <c r="M138" s="233"/>
      <c r="N138" s="233"/>
      <c r="O138" s="233">
        <v>3</v>
      </c>
      <c r="P138" s="233">
        <v>1</v>
      </c>
      <c r="Q138" s="233">
        <v>1</v>
      </c>
      <c r="R138" s="233">
        <v>3</v>
      </c>
      <c r="S138" s="232">
        <v>10</v>
      </c>
      <c r="T138" s="232">
        <v>6</v>
      </c>
      <c r="U138" s="233" t="s">
        <v>520</v>
      </c>
      <c r="V138" s="252" t="s">
        <v>521</v>
      </c>
      <c r="W138" s="232"/>
      <c r="X138" s="232" t="s">
        <v>38</v>
      </c>
      <c r="Y138" s="232" t="s">
        <v>522</v>
      </c>
      <c r="Z138" s="235"/>
      <c r="AA138" s="232" t="s">
        <v>523</v>
      </c>
      <c r="AB138" s="214">
        <v>6</v>
      </c>
      <c r="AC138" s="214" t="s">
        <v>34</v>
      </c>
    </row>
    <row r="139" spans="1:29">
      <c r="A139" s="232" t="str">
        <f>_xlfn.CONCAT(B139,C139)</f>
        <v>ICC5108</v>
      </c>
      <c r="B139" s="233" t="s">
        <v>10</v>
      </c>
      <c r="C139" s="234" t="s">
        <v>524</v>
      </c>
      <c r="D139" s="245" t="s">
        <v>525</v>
      </c>
      <c r="E139" s="232"/>
      <c r="F139" s="232"/>
      <c r="G139" s="232"/>
      <c r="H139" s="232"/>
      <c r="I139" s="232">
        <v>9</v>
      </c>
      <c r="J139" s="232"/>
      <c r="K139" s="232"/>
      <c r="L139" s="233"/>
      <c r="M139" s="233"/>
      <c r="N139" s="233">
        <v>2</v>
      </c>
      <c r="O139" s="233">
        <v>3</v>
      </c>
      <c r="P139" s="233">
        <v>1</v>
      </c>
      <c r="Q139" s="233">
        <v>1</v>
      </c>
      <c r="R139" s="233">
        <v>3</v>
      </c>
      <c r="S139" s="232">
        <v>10</v>
      </c>
      <c r="T139" s="232">
        <v>6</v>
      </c>
      <c r="U139" s="233" t="s">
        <v>421</v>
      </c>
      <c r="V139" s="252" t="s">
        <v>356</v>
      </c>
      <c r="W139" s="232" t="s">
        <v>38</v>
      </c>
      <c r="X139" s="232"/>
      <c r="Y139" s="232" t="s">
        <v>526</v>
      </c>
      <c r="Z139" s="235"/>
      <c r="AA139" s="232" t="s">
        <v>527</v>
      </c>
      <c r="AB139" s="214">
        <v>6</v>
      </c>
      <c r="AC139" s="214" t="s">
        <v>34</v>
      </c>
    </row>
    <row r="140" spans="1:29">
      <c r="A140" s="232" t="s">
        <v>528</v>
      </c>
      <c r="B140" s="233" t="s">
        <v>8</v>
      </c>
      <c r="C140" s="234" t="s">
        <v>209</v>
      </c>
      <c r="D140" s="232" t="s">
        <v>529</v>
      </c>
      <c r="E140" s="232"/>
      <c r="F140" s="232"/>
      <c r="G140" s="232">
        <v>10</v>
      </c>
      <c r="H140" s="232"/>
      <c r="I140" s="232"/>
      <c r="J140" s="232"/>
      <c r="K140" s="232"/>
      <c r="L140" s="232">
        <v>3</v>
      </c>
      <c r="M140" s="232"/>
      <c r="N140" s="232">
        <v>2</v>
      </c>
      <c r="O140" s="232"/>
      <c r="P140" s="232"/>
      <c r="Q140" s="232"/>
      <c r="R140" s="232">
        <v>5</v>
      </c>
      <c r="S140" s="232">
        <f>SUM(L140:R140)</f>
        <v>10</v>
      </c>
      <c r="T140" s="232">
        <f>ROUND(S140*S$1/T$1,0)</f>
        <v>6</v>
      </c>
      <c r="U140" s="232" t="s">
        <v>441</v>
      </c>
      <c r="V140" s="262" t="s">
        <v>530</v>
      </c>
      <c r="W140" s="232"/>
      <c r="X140" s="232" t="s">
        <v>38</v>
      </c>
      <c r="Y140" s="232"/>
      <c r="Z140" s="235"/>
      <c r="AA140" s="232" t="s">
        <v>33</v>
      </c>
      <c r="AB140" s="214">
        <v>6</v>
      </c>
      <c r="AC140" s="214" t="s">
        <v>34</v>
      </c>
    </row>
    <row r="141" spans="1:29">
      <c r="A141" s="232" t="s">
        <v>531</v>
      </c>
      <c r="B141" s="235" t="s">
        <v>8</v>
      </c>
      <c r="C141" s="247" t="s">
        <v>501</v>
      </c>
      <c r="D141" s="232" t="s">
        <v>532</v>
      </c>
      <c r="E141" s="232"/>
      <c r="F141" s="232"/>
      <c r="G141" s="232">
        <v>6</v>
      </c>
      <c r="H141" s="232"/>
      <c r="I141" s="232"/>
      <c r="J141" s="232"/>
      <c r="K141" s="232"/>
      <c r="L141" s="233">
        <v>3</v>
      </c>
      <c r="M141" s="233"/>
      <c r="N141" s="233">
        <v>2</v>
      </c>
      <c r="O141" s="233"/>
      <c r="P141" s="233"/>
      <c r="Q141" s="233">
        <v>1</v>
      </c>
      <c r="R141" s="233">
        <v>4</v>
      </c>
      <c r="S141" s="232">
        <f>SUM(L141:R141)</f>
        <v>10</v>
      </c>
      <c r="T141" s="232">
        <f>ROUND(S141*S$1/T$1,0)</f>
        <v>6</v>
      </c>
      <c r="U141" s="233" t="s">
        <v>70</v>
      </c>
      <c r="V141" s="252"/>
      <c r="W141" s="232"/>
      <c r="X141" s="232" t="s">
        <v>38</v>
      </c>
      <c r="Y141" s="232" t="s">
        <v>533</v>
      </c>
      <c r="Z141" s="235"/>
      <c r="AA141" s="232" t="s">
        <v>533</v>
      </c>
      <c r="AB141" s="214">
        <v>6</v>
      </c>
      <c r="AC141" s="214" t="s">
        <v>34</v>
      </c>
    </row>
    <row r="142" spans="1:29">
      <c r="A142" s="232" t="s">
        <v>534</v>
      </c>
      <c r="B142" s="240" t="s">
        <v>11</v>
      </c>
      <c r="C142" s="248" t="s">
        <v>535</v>
      </c>
      <c r="D142" s="232" t="s">
        <v>536</v>
      </c>
      <c r="E142" s="232"/>
      <c r="F142" s="232"/>
      <c r="G142" s="232"/>
      <c r="H142" s="232"/>
      <c r="I142" s="232"/>
      <c r="J142" s="232">
        <v>6</v>
      </c>
      <c r="K142" s="232"/>
      <c r="L142" s="233">
        <v>3</v>
      </c>
      <c r="M142" s="233">
        <v>2</v>
      </c>
      <c r="N142" s="233"/>
      <c r="O142" s="233"/>
      <c r="P142" s="233"/>
      <c r="Q142" s="233">
        <v>1</v>
      </c>
      <c r="R142" s="233">
        <v>4</v>
      </c>
      <c r="S142" s="232">
        <f>SUM(L142:R142)</f>
        <v>10</v>
      </c>
      <c r="T142" s="232">
        <f>ROUND(S142*S$1/T$1,0)</f>
        <v>6</v>
      </c>
      <c r="U142" s="233" t="s">
        <v>537</v>
      </c>
      <c r="V142" s="252"/>
      <c r="W142" s="232"/>
      <c r="X142" s="232" t="s">
        <v>38</v>
      </c>
      <c r="Y142" s="232" t="s">
        <v>538</v>
      </c>
      <c r="Z142" s="235"/>
      <c r="AA142" s="232" t="s">
        <v>33</v>
      </c>
      <c r="AB142" s="214">
        <v>6</v>
      </c>
      <c r="AC142" s="214" t="s">
        <v>34</v>
      </c>
    </row>
    <row r="143" spans="1:29">
      <c r="A143" s="232" t="s">
        <v>539</v>
      </c>
      <c r="B143" s="232" t="s">
        <v>11</v>
      </c>
      <c r="C143" s="255" t="s">
        <v>262</v>
      </c>
      <c r="D143" s="232" t="s">
        <v>540</v>
      </c>
      <c r="E143" s="232"/>
      <c r="F143" s="232"/>
      <c r="G143" s="232"/>
      <c r="H143" s="232"/>
      <c r="I143" s="232"/>
      <c r="J143" s="232">
        <v>10</v>
      </c>
      <c r="K143" s="232"/>
      <c r="L143" s="233">
        <v>3</v>
      </c>
      <c r="M143" s="233">
        <v>0</v>
      </c>
      <c r="N143" s="233">
        <v>2</v>
      </c>
      <c r="O143" s="233">
        <v>2</v>
      </c>
      <c r="P143" s="233">
        <v>1</v>
      </c>
      <c r="Q143" s="233"/>
      <c r="R143" s="233">
        <v>2</v>
      </c>
      <c r="S143" s="232">
        <f>SUM(L143:R143)</f>
        <v>10</v>
      </c>
      <c r="T143" s="232">
        <f>ROUND(S143*S$1/T$1,0)</f>
        <v>6</v>
      </c>
      <c r="U143" s="233" t="s">
        <v>541</v>
      </c>
      <c r="V143" s="241" t="s">
        <v>521</v>
      </c>
      <c r="W143" s="232"/>
      <c r="X143" s="232" t="s">
        <v>38</v>
      </c>
      <c r="Y143" s="232" t="s">
        <v>542</v>
      </c>
      <c r="Z143" s="235"/>
      <c r="AA143" s="232" t="s">
        <v>33</v>
      </c>
      <c r="AB143" s="214">
        <v>6</v>
      </c>
      <c r="AC143" s="214" t="s">
        <v>34</v>
      </c>
    </row>
    <row r="144" spans="1:29">
      <c r="A144" s="232" t="str">
        <f>_xlfn.CONCAT(B144,C144)</f>
        <v>ICC5120</v>
      </c>
      <c r="B144" s="233" t="s">
        <v>10</v>
      </c>
      <c r="C144" s="234" t="s">
        <v>111</v>
      </c>
      <c r="D144" s="233" t="s">
        <v>543</v>
      </c>
      <c r="E144" s="232"/>
      <c r="F144" s="232"/>
      <c r="G144" s="232"/>
      <c r="H144" s="232"/>
      <c r="I144" s="232">
        <v>9</v>
      </c>
      <c r="J144" s="232"/>
      <c r="K144" s="232"/>
      <c r="L144" s="245">
        <v>3</v>
      </c>
      <c r="M144" s="245"/>
      <c r="N144" s="245"/>
      <c r="O144" s="245">
        <v>3</v>
      </c>
      <c r="P144" s="245">
        <v>1</v>
      </c>
      <c r="Q144" s="245">
        <v>1</v>
      </c>
      <c r="R144" s="233">
        <v>2</v>
      </c>
      <c r="S144" s="232">
        <v>10</v>
      </c>
      <c r="T144" s="232">
        <v>6</v>
      </c>
      <c r="U144" s="233" t="s">
        <v>544</v>
      </c>
      <c r="V144" s="252" t="s">
        <v>131</v>
      </c>
      <c r="W144" s="232" t="s">
        <v>38</v>
      </c>
      <c r="X144" s="232"/>
      <c r="Y144" s="232" t="s">
        <v>545</v>
      </c>
      <c r="Z144" s="235"/>
      <c r="AA144" s="232" t="s">
        <v>546</v>
      </c>
      <c r="AB144" s="214">
        <v>6</v>
      </c>
      <c r="AC144" s="214" t="s">
        <v>34</v>
      </c>
    </row>
    <row r="145" spans="1:29">
      <c r="A145" s="232" t="s">
        <v>547</v>
      </c>
      <c r="B145" s="232" t="s">
        <v>11</v>
      </c>
      <c r="C145" s="255">
        <v>7000</v>
      </c>
      <c r="D145" s="232" t="s">
        <v>548</v>
      </c>
      <c r="E145" s="232"/>
      <c r="F145" s="232"/>
      <c r="G145" s="232"/>
      <c r="H145" s="232"/>
      <c r="I145" s="232"/>
      <c r="J145" s="232" t="s">
        <v>549</v>
      </c>
      <c r="K145" s="232">
        <v>5</v>
      </c>
      <c r="L145" s="232">
        <v>3</v>
      </c>
      <c r="M145" s="232">
        <v>2</v>
      </c>
      <c r="N145" s="232"/>
      <c r="O145" s="232">
        <v>2</v>
      </c>
      <c r="P145" s="232"/>
      <c r="Q145" s="232"/>
      <c r="R145" s="232">
        <v>3</v>
      </c>
      <c r="S145" s="232">
        <f>SUM(L145:R145)</f>
        <v>10</v>
      </c>
      <c r="T145" s="232">
        <f>ROUND(S145*S$1/T$1,0)</f>
        <v>6</v>
      </c>
      <c r="U145" s="232" t="s">
        <v>550</v>
      </c>
      <c r="V145" s="232"/>
      <c r="W145" s="232" t="s">
        <v>38</v>
      </c>
      <c r="X145" s="232"/>
      <c r="Y145" s="232" t="s">
        <v>551</v>
      </c>
      <c r="Z145" s="235"/>
      <c r="AA145" s="232" t="s">
        <v>33</v>
      </c>
      <c r="AB145" s="214">
        <v>6</v>
      </c>
      <c r="AC145" s="214" t="s">
        <v>34</v>
      </c>
    </row>
    <row r="146" spans="1:29">
      <c r="A146" s="232" t="s">
        <v>552</v>
      </c>
      <c r="B146" s="245" t="s">
        <v>8</v>
      </c>
      <c r="C146" s="246" t="s">
        <v>553</v>
      </c>
      <c r="D146" s="232" t="s">
        <v>554</v>
      </c>
      <c r="E146" s="232"/>
      <c r="F146" s="232"/>
      <c r="G146" s="232">
        <v>8</v>
      </c>
      <c r="H146" s="232"/>
      <c r="I146" s="232"/>
      <c r="J146" s="232"/>
      <c r="K146" s="232">
        <v>6</v>
      </c>
      <c r="L146" s="232">
        <v>3</v>
      </c>
      <c r="M146" s="232">
        <v>2</v>
      </c>
      <c r="N146" s="232"/>
      <c r="O146" s="232">
        <v>1</v>
      </c>
      <c r="P146" s="232">
        <v>1</v>
      </c>
      <c r="Q146" s="232"/>
      <c r="R146" s="232">
        <v>3</v>
      </c>
      <c r="S146" s="232">
        <f>SUM(L146:R146)</f>
        <v>10</v>
      </c>
      <c r="T146" s="232">
        <f>ROUND(S146*S$1/T$1,0)</f>
        <v>6</v>
      </c>
      <c r="U146" s="232" t="s">
        <v>555</v>
      </c>
      <c r="V146" s="241"/>
      <c r="W146" s="232"/>
      <c r="X146" s="232" t="s">
        <v>38</v>
      </c>
      <c r="Y146" s="232"/>
      <c r="Z146" s="235"/>
      <c r="AA146" s="232" t="s">
        <v>554</v>
      </c>
      <c r="AB146" s="214">
        <v>6</v>
      </c>
      <c r="AC146" s="214" t="s">
        <v>34</v>
      </c>
    </row>
  </sheetData>
  <autoFilter xmlns:etc="http://www.wps.cn/officeDocument/2017/etCustomData" ref="A2:AC146" etc:filterBottomFollowUsedRange="0">
    <extLst/>
  </autoFilter>
  <mergeCells count="2">
    <mergeCell ref="E1:J1"/>
    <mergeCell ref="L1:R1"/>
  </mergeCells>
  <pageMargins left="0.75" right="0.75" top="1" bottom="1" header="0.5" footer="0.5"/>
  <pageSetup paperSize="1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599993896298105"/>
  </sheetPr>
  <dimension ref="A1:AU25"/>
  <sheetViews>
    <sheetView zoomScale="80" zoomScaleNormal="80" workbookViewId="0">
      <selection activeCell="R11" sqref="R11:U11"/>
    </sheetView>
  </sheetViews>
  <sheetFormatPr defaultColWidth="11.4285714285714" defaultRowHeight="15"/>
  <cols>
    <col min="2" max="2" width="3.57142857142857" customWidth="1"/>
    <col min="3" max="3" width="5.42857142857143" customWidth="1"/>
    <col min="4" max="4" width="5.42857142857143" style="100" customWidth="1"/>
    <col min="5" max="5" width="5.42857142857143" customWidth="1"/>
    <col min="6" max="6" width="3.57142857142857" customWidth="1"/>
    <col min="7" max="7" width="5.42857142857143" customWidth="1"/>
    <col min="8" max="8" width="5.42857142857143" style="100" customWidth="1"/>
    <col min="9" max="9" width="5.42857142857143" customWidth="1"/>
    <col min="10" max="10" width="3.57142857142857" customWidth="1"/>
    <col min="11" max="11" width="5.42857142857143" customWidth="1"/>
    <col min="12" max="12" width="5.42857142857143" style="100" customWidth="1"/>
    <col min="13" max="13" width="5.42857142857143" customWidth="1"/>
    <col min="14" max="14" width="3.57142857142857" customWidth="1"/>
    <col min="15" max="15" width="5.42857142857143" customWidth="1"/>
    <col min="16" max="16" width="5.42857142857143" style="100" customWidth="1"/>
    <col min="17" max="17" width="7.57142857142857" customWidth="1"/>
    <col min="18" max="18" width="3.57142857142857" customWidth="1"/>
    <col min="19" max="21" width="5.42857142857143" customWidth="1"/>
    <col min="22" max="22" width="3.57142857142857" customWidth="1"/>
    <col min="23" max="25" width="5.42857142857143" customWidth="1"/>
    <col min="26" max="26" width="3.57142857142857" customWidth="1"/>
    <col min="27" max="27" width="5.42857142857143" customWidth="1"/>
    <col min="28" max="28" width="5.42857142857143" style="100" customWidth="1"/>
    <col min="29" max="29" width="5.42857142857143" customWidth="1"/>
    <col min="30" max="30" width="3.57142857142857" customWidth="1"/>
    <col min="31" max="34" width="5.42857142857143" customWidth="1"/>
    <col min="35" max="35" width="3.57142857142857" customWidth="1"/>
    <col min="36" max="38" width="5.42857142857143" customWidth="1"/>
    <col min="39" max="39" width="3.57142857142857" customWidth="1"/>
    <col min="40" max="40" width="5.42857142857143" customWidth="1"/>
    <col min="41" max="41" width="5.42857142857143" style="100" customWidth="1"/>
    <col min="42" max="42" width="5.42857142857143" customWidth="1"/>
    <col min="43" max="43" width="3.57142857142857" customWidth="1"/>
    <col min="44" max="44" width="5.42857142857143" customWidth="1"/>
    <col min="45" max="45" width="6.57142857142857" customWidth="1"/>
    <col min="46" max="46" width="5.42857142857143" customWidth="1"/>
    <col min="47" max="47" width="3" customWidth="1"/>
    <col min="48" max="48" width="3.57142857142857" customWidth="1"/>
    <col min="49" max="51" width="5.42857142857143" customWidth="1"/>
  </cols>
  <sheetData>
    <row r="1" ht="15.75"/>
    <row r="2" ht="15.75" spans="1:47">
      <c r="B2" s="5" t="s">
        <v>556</v>
      </c>
      <c r="C2" s="5"/>
      <c r="D2" s="5"/>
      <c r="E2" s="5"/>
      <c r="F2" s="5"/>
      <c r="G2" s="5"/>
      <c r="H2" s="5"/>
      <c r="I2" s="5"/>
      <c r="J2" s="6" t="s">
        <v>557</v>
      </c>
      <c r="K2" s="7"/>
      <c r="L2" s="7"/>
      <c r="M2" s="7"/>
      <c r="N2" s="7"/>
      <c r="O2" s="7"/>
      <c r="P2" s="7"/>
      <c r="Q2" s="8"/>
      <c r="R2" s="5" t="s">
        <v>558</v>
      </c>
      <c r="S2" s="5"/>
      <c r="T2" s="5"/>
      <c r="U2" s="5"/>
      <c r="V2" s="5"/>
      <c r="W2" s="5"/>
      <c r="X2" s="5"/>
      <c r="Y2" s="5"/>
      <c r="Z2" s="6" t="s">
        <v>559</v>
      </c>
      <c r="AA2" s="7"/>
      <c r="AB2" s="7"/>
      <c r="AC2" s="7"/>
      <c r="AD2" s="7"/>
      <c r="AE2" s="7"/>
      <c r="AF2" s="7"/>
      <c r="AG2" s="8"/>
      <c r="AI2" s="5" t="s">
        <v>560</v>
      </c>
      <c r="AJ2" s="5"/>
      <c r="AK2" s="5"/>
      <c r="AL2" s="5"/>
      <c r="AM2" s="5"/>
      <c r="AN2" s="5"/>
      <c r="AO2" s="5"/>
      <c r="AP2" s="5"/>
      <c r="AQ2" s="6" t="s">
        <v>561</v>
      </c>
      <c r="AR2" s="7"/>
      <c r="AS2" s="7"/>
      <c r="AT2" s="8"/>
      <c r="AU2" s="9"/>
    </row>
    <row r="3" ht="15.75" spans="1:47">
      <c r="B3" s="6">
        <v>1</v>
      </c>
      <c r="C3" s="7"/>
      <c r="D3" s="7"/>
      <c r="E3" s="8"/>
      <c r="F3" s="6">
        <v>2</v>
      </c>
      <c r="G3" s="7"/>
      <c r="H3" s="7"/>
      <c r="I3" s="8"/>
      <c r="J3" s="6">
        <v>1</v>
      </c>
      <c r="K3" s="7"/>
      <c r="L3" s="7"/>
      <c r="M3" s="8"/>
      <c r="N3" s="6">
        <v>2</v>
      </c>
      <c r="O3" s="7"/>
      <c r="P3" s="7"/>
      <c r="Q3" s="8"/>
      <c r="R3" s="6">
        <v>1</v>
      </c>
      <c r="S3" s="7"/>
      <c r="T3" s="7"/>
      <c r="U3" s="8"/>
      <c r="V3" s="6">
        <v>2</v>
      </c>
      <c r="W3" s="7"/>
      <c r="X3" s="7"/>
      <c r="Y3" s="8"/>
      <c r="Z3" s="6">
        <v>1</v>
      </c>
      <c r="AA3" s="7"/>
      <c r="AB3" s="7"/>
      <c r="AC3" s="8"/>
      <c r="AD3" s="6">
        <v>2</v>
      </c>
      <c r="AE3" s="7"/>
      <c r="AF3" s="7"/>
      <c r="AG3" s="8"/>
      <c r="AI3" s="6">
        <v>1</v>
      </c>
      <c r="AJ3" s="7"/>
      <c r="AK3" s="7"/>
      <c r="AL3" s="8"/>
      <c r="AM3" s="6">
        <v>2</v>
      </c>
      <c r="AN3" s="7"/>
      <c r="AO3" s="7"/>
      <c r="AP3" s="8"/>
      <c r="AQ3" s="6">
        <v>1</v>
      </c>
      <c r="AR3" s="7"/>
      <c r="AS3" s="7"/>
      <c r="AT3" s="8"/>
      <c r="AU3" s="9"/>
    </row>
    <row r="4" ht="15.75" customHeight="1" spans="1:47">
      <c r="A4" s="10" t="s">
        <v>562</v>
      </c>
      <c r="B4" s="11">
        <v>1</v>
      </c>
      <c r="C4" s="12">
        <v>10</v>
      </c>
      <c r="D4" s="16" t="s">
        <v>563</v>
      </c>
      <c r="E4" s="12" t="s">
        <v>563</v>
      </c>
      <c r="F4" s="172" t="s">
        <v>564</v>
      </c>
      <c r="G4" s="12" t="s">
        <v>565</v>
      </c>
      <c r="H4" s="16" t="s">
        <v>563</v>
      </c>
      <c r="I4" s="173" t="s">
        <v>566</v>
      </c>
      <c r="J4" s="172" t="s">
        <v>567</v>
      </c>
      <c r="K4" s="12" t="s">
        <v>565</v>
      </c>
      <c r="L4" s="16" t="s">
        <v>563</v>
      </c>
      <c r="M4" s="12" t="s">
        <v>568</v>
      </c>
      <c r="N4" s="172" t="s">
        <v>569</v>
      </c>
      <c r="O4" s="12" t="s">
        <v>565</v>
      </c>
      <c r="P4" s="16" t="s">
        <v>563</v>
      </c>
      <c r="Q4" s="12" t="s">
        <v>570</v>
      </c>
      <c r="R4" s="11" t="s">
        <v>571</v>
      </c>
      <c r="S4" s="13" t="s">
        <v>565</v>
      </c>
      <c r="T4" s="13"/>
      <c r="U4" s="13"/>
      <c r="V4" s="11" t="s">
        <v>572</v>
      </c>
      <c r="W4" s="13" t="s">
        <v>565</v>
      </c>
      <c r="X4" s="13"/>
      <c r="Y4" s="13"/>
      <c r="Z4" s="11" t="s">
        <v>573</v>
      </c>
      <c r="AA4" s="13" t="s">
        <v>565</v>
      </c>
      <c r="AB4" s="16"/>
      <c r="AC4" s="13"/>
      <c r="AD4" s="11" t="s">
        <v>574</v>
      </c>
      <c r="AE4" s="13" t="s">
        <v>575</v>
      </c>
      <c r="AF4" s="13"/>
      <c r="AG4" s="17"/>
      <c r="AH4" s="192"/>
      <c r="AI4" s="11" t="s">
        <v>576</v>
      </c>
      <c r="AJ4" s="13" t="s">
        <v>565</v>
      </c>
      <c r="AK4" s="13"/>
      <c r="AL4" s="13"/>
      <c r="AM4" s="11" t="s">
        <v>577</v>
      </c>
      <c r="AN4" s="13" t="s">
        <v>565</v>
      </c>
      <c r="AO4" s="16"/>
      <c r="AP4" s="13"/>
      <c r="AQ4" s="11" t="s">
        <v>578</v>
      </c>
      <c r="AR4" s="13" t="s">
        <v>565</v>
      </c>
      <c r="AS4" s="13"/>
      <c r="AT4" s="13"/>
      <c r="AU4" s="19"/>
    </row>
    <row r="5" s="51" customFormat="1" ht="46.5" customHeight="1" spans="1:47">
      <c r="A5" s="20"/>
      <c r="B5" s="21" t="s">
        <v>37</v>
      </c>
      <c r="C5" s="22"/>
      <c r="D5" s="22"/>
      <c r="E5" s="23"/>
      <c r="F5" s="21" t="s">
        <v>62</v>
      </c>
      <c r="G5" s="22"/>
      <c r="H5" s="22"/>
      <c r="I5" s="23"/>
      <c r="J5" s="21" t="s">
        <v>81</v>
      </c>
      <c r="K5" s="22"/>
      <c r="L5" s="22"/>
      <c r="M5" s="23"/>
      <c r="N5" s="21" t="s">
        <v>104</v>
      </c>
      <c r="O5" s="22"/>
      <c r="P5" s="22"/>
      <c r="Q5" s="23"/>
      <c r="R5" s="193" t="s">
        <v>579</v>
      </c>
      <c r="S5" s="194"/>
      <c r="T5" s="194"/>
      <c r="U5" s="195"/>
      <c r="V5" s="193" t="s">
        <v>579</v>
      </c>
      <c r="W5" s="194"/>
      <c r="X5" s="194"/>
      <c r="Y5" s="195"/>
      <c r="Z5" s="193" t="s">
        <v>579</v>
      </c>
      <c r="AA5" s="194"/>
      <c r="AB5" s="194"/>
      <c r="AC5" s="195"/>
      <c r="AD5" s="193" t="s">
        <v>580</v>
      </c>
      <c r="AE5" s="194"/>
      <c r="AF5" s="194"/>
      <c r="AG5" s="195"/>
      <c r="AI5" s="196" t="s">
        <v>581</v>
      </c>
      <c r="AJ5" s="197"/>
      <c r="AK5" s="197"/>
      <c r="AL5" s="198"/>
      <c r="AM5" s="196" t="s">
        <v>581</v>
      </c>
      <c r="AN5" s="197"/>
      <c r="AO5" s="197"/>
      <c r="AP5" s="198"/>
      <c r="AQ5" s="199" t="s">
        <v>582</v>
      </c>
      <c r="AR5" s="200"/>
      <c r="AS5" s="200"/>
      <c r="AT5" s="201"/>
    </row>
    <row r="6" ht="15.75" spans="1:47">
      <c r="A6" s="10" t="s">
        <v>583</v>
      </c>
      <c r="B6" s="11">
        <v>2</v>
      </c>
      <c r="C6" s="12">
        <v>5</v>
      </c>
      <c r="D6" s="16" t="s">
        <v>53</v>
      </c>
      <c r="E6" s="12" t="s">
        <v>563</v>
      </c>
      <c r="F6" s="172" t="s">
        <v>575</v>
      </c>
      <c r="G6" s="12" t="s">
        <v>565</v>
      </c>
      <c r="H6" s="16" t="s">
        <v>563</v>
      </c>
      <c r="I6" s="173" t="s">
        <v>584</v>
      </c>
      <c r="J6" s="172" t="s">
        <v>570</v>
      </c>
      <c r="K6" s="12" t="s">
        <v>565</v>
      </c>
      <c r="L6" s="16" t="s">
        <v>563</v>
      </c>
      <c r="M6" s="12">
        <v>3.9</v>
      </c>
      <c r="N6" s="172" t="s">
        <v>585</v>
      </c>
      <c r="O6" s="12" t="s">
        <v>565</v>
      </c>
      <c r="P6" s="16" t="s">
        <v>90</v>
      </c>
      <c r="Q6" s="12" t="s">
        <v>586</v>
      </c>
      <c r="R6" s="11" t="s">
        <v>587</v>
      </c>
      <c r="S6" s="13" t="s">
        <v>565</v>
      </c>
      <c r="T6" s="13"/>
      <c r="U6" s="13"/>
      <c r="V6" s="11" t="s">
        <v>588</v>
      </c>
      <c r="W6" s="13" t="s">
        <v>565</v>
      </c>
      <c r="X6" s="13"/>
      <c r="Y6" s="13"/>
      <c r="Z6" s="11" t="s">
        <v>589</v>
      </c>
      <c r="AA6" s="13" t="s">
        <v>565</v>
      </c>
      <c r="AB6" s="16"/>
      <c r="AC6" s="13"/>
      <c r="AD6" s="11" t="s">
        <v>590</v>
      </c>
      <c r="AE6" s="13" t="s">
        <v>565</v>
      </c>
      <c r="AF6" s="13"/>
      <c r="AG6" s="13"/>
      <c r="AH6" s="192"/>
      <c r="AI6" s="11" t="s">
        <v>591</v>
      </c>
      <c r="AJ6" s="13" t="s">
        <v>565</v>
      </c>
      <c r="AK6" s="13"/>
      <c r="AL6" s="13"/>
      <c r="AM6" s="11" t="s">
        <v>592</v>
      </c>
      <c r="AN6" s="13" t="s">
        <v>565</v>
      </c>
      <c r="AO6" s="16"/>
      <c r="AP6" s="13"/>
      <c r="AQ6" s="11" t="s">
        <v>593</v>
      </c>
      <c r="AR6" s="13" t="s">
        <v>565</v>
      </c>
      <c r="AS6" s="13"/>
      <c r="AT6" s="13"/>
      <c r="AU6" s="192"/>
    </row>
    <row r="7" s="51" customFormat="1" ht="46.5" customHeight="1" spans="1:47">
      <c r="A7" s="20"/>
      <c r="B7" s="21" t="s">
        <v>52</v>
      </c>
      <c r="C7" s="22"/>
      <c r="D7" s="22"/>
      <c r="E7" s="23"/>
      <c r="F7" s="21" t="s">
        <v>70</v>
      </c>
      <c r="G7" s="22"/>
      <c r="H7" s="22"/>
      <c r="I7" s="23"/>
      <c r="J7" s="21" t="s">
        <v>77</v>
      </c>
      <c r="K7" s="22"/>
      <c r="L7" s="22"/>
      <c r="M7" s="23"/>
      <c r="N7" s="21" t="s">
        <v>93</v>
      </c>
      <c r="O7" s="22"/>
      <c r="P7" s="22"/>
      <c r="Q7" s="23"/>
      <c r="R7" s="193" t="s">
        <v>579</v>
      </c>
      <c r="S7" s="194"/>
      <c r="T7" s="194"/>
      <c r="U7" s="195"/>
      <c r="V7" s="193" t="s">
        <v>579</v>
      </c>
      <c r="W7" s="194"/>
      <c r="X7" s="194"/>
      <c r="Y7" s="195"/>
      <c r="Z7" s="193" t="s">
        <v>579</v>
      </c>
      <c r="AA7" s="194"/>
      <c r="AB7" s="194"/>
      <c r="AC7" s="195"/>
      <c r="AD7" s="193" t="s">
        <v>579</v>
      </c>
      <c r="AE7" s="194"/>
      <c r="AF7" s="194"/>
      <c r="AG7" s="195"/>
      <c r="AI7" s="196" t="s">
        <v>581</v>
      </c>
      <c r="AJ7" s="197"/>
      <c r="AK7" s="197"/>
      <c r="AL7" s="198"/>
      <c r="AM7" s="196" t="s">
        <v>581</v>
      </c>
      <c r="AN7" s="197"/>
      <c r="AO7" s="197"/>
      <c r="AP7" s="198"/>
      <c r="AQ7" s="199" t="s">
        <v>582</v>
      </c>
      <c r="AR7" s="200"/>
      <c r="AS7" s="200"/>
      <c r="AT7" s="201"/>
    </row>
    <row r="8" ht="15.75" spans="1:47">
      <c r="A8" s="10" t="s">
        <v>594</v>
      </c>
      <c r="B8" s="11">
        <v>3</v>
      </c>
      <c r="C8" s="12" t="s">
        <v>595</v>
      </c>
      <c r="D8" s="16" t="s">
        <v>563</v>
      </c>
      <c r="E8" s="12" t="s">
        <v>563</v>
      </c>
      <c r="F8" s="172" t="s">
        <v>596</v>
      </c>
      <c r="G8" s="12" t="s">
        <v>565</v>
      </c>
      <c r="H8" s="202" t="s">
        <v>563</v>
      </c>
      <c r="I8" s="12" t="s">
        <v>597</v>
      </c>
      <c r="J8" s="172" t="s">
        <v>598</v>
      </c>
      <c r="K8" s="12" t="s">
        <v>565</v>
      </c>
      <c r="L8" s="16" t="s">
        <v>90</v>
      </c>
      <c r="M8" s="12" t="s">
        <v>596</v>
      </c>
      <c r="N8" s="172" t="s">
        <v>599</v>
      </c>
      <c r="O8" s="12" t="s">
        <v>595</v>
      </c>
      <c r="P8" s="16" t="s">
        <v>90</v>
      </c>
      <c r="Q8" s="12" t="s">
        <v>600</v>
      </c>
      <c r="R8" s="11" t="s">
        <v>601</v>
      </c>
      <c r="S8" s="13" t="s">
        <v>565</v>
      </c>
      <c r="T8" s="13"/>
      <c r="U8" s="13"/>
      <c r="V8" s="11" t="s">
        <v>602</v>
      </c>
      <c r="W8" s="13" t="s">
        <v>565</v>
      </c>
      <c r="X8" s="13"/>
      <c r="Y8" s="13"/>
      <c r="Z8" s="11" t="s">
        <v>603</v>
      </c>
      <c r="AA8" s="13" t="s">
        <v>565</v>
      </c>
      <c r="AB8" s="16"/>
      <c r="AC8" s="13"/>
      <c r="AD8" s="11" t="s">
        <v>604</v>
      </c>
      <c r="AE8" s="13" t="s">
        <v>565</v>
      </c>
      <c r="AF8" s="13"/>
      <c r="AG8" s="13"/>
      <c r="AH8" s="192"/>
      <c r="AI8" s="11" t="s">
        <v>605</v>
      </c>
      <c r="AJ8" s="13" t="s">
        <v>565</v>
      </c>
      <c r="AK8" s="13"/>
      <c r="AL8" s="13"/>
      <c r="AM8" s="11" t="s">
        <v>606</v>
      </c>
      <c r="AN8" s="13" t="s">
        <v>607</v>
      </c>
      <c r="AO8" s="16" t="s">
        <v>186</v>
      </c>
      <c r="AP8" s="13" t="s">
        <v>608</v>
      </c>
      <c r="AQ8" s="11" t="s">
        <v>609</v>
      </c>
      <c r="AR8" s="13" t="s">
        <v>610</v>
      </c>
      <c r="AS8" s="13" t="s">
        <v>611</v>
      </c>
      <c r="AT8" s="13" t="s">
        <v>606</v>
      </c>
      <c r="AU8" s="192"/>
    </row>
    <row r="9" s="51" customFormat="1" ht="46.5" customHeight="1" spans="1:47">
      <c r="A9" s="20"/>
      <c r="B9" s="21" t="s">
        <v>56</v>
      </c>
      <c r="C9" s="22"/>
      <c r="D9" s="22"/>
      <c r="E9" s="23"/>
      <c r="F9" s="21" t="s">
        <v>74</v>
      </c>
      <c r="G9" s="22"/>
      <c r="H9" s="22"/>
      <c r="I9" s="23"/>
      <c r="J9" s="21" t="s">
        <v>89</v>
      </c>
      <c r="K9" s="22"/>
      <c r="L9" s="22"/>
      <c r="M9" s="23"/>
      <c r="N9" s="21" t="s">
        <v>107</v>
      </c>
      <c r="O9" s="22"/>
      <c r="P9" s="22"/>
      <c r="Q9" s="23"/>
      <c r="R9" s="193" t="s">
        <v>579</v>
      </c>
      <c r="S9" s="194"/>
      <c r="T9" s="194"/>
      <c r="U9" s="195"/>
      <c r="V9" s="193" t="s">
        <v>579</v>
      </c>
      <c r="W9" s="194"/>
      <c r="X9" s="194"/>
      <c r="Y9" s="195"/>
      <c r="Z9" s="193" t="s">
        <v>579</v>
      </c>
      <c r="AA9" s="194"/>
      <c r="AB9" s="194"/>
      <c r="AC9" s="195"/>
      <c r="AD9" s="193" t="s">
        <v>579</v>
      </c>
      <c r="AE9" s="194"/>
      <c r="AF9" s="194"/>
      <c r="AG9" s="195"/>
      <c r="AI9" s="196" t="s">
        <v>581</v>
      </c>
      <c r="AJ9" s="197"/>
      <c r="AK9" s="197"/>
      <c r="AL9" s="198"/>
      <c r="AM9" s="203" t="s">
        <v>612</v>
      </c>
      <c r="AN9" s="204"/>
      <c r="AO9" s="204"/>
      <c r="AP9" s="205"/>
      <c r="AQ9" s="203" t="s">
        <v>613</v>
      </c>
      <c r="AR9" s="204"/>
      <c r="AS9" s="204"/>
      <c r="AT9" s="205"/>
      <c r="AU9" s="39"/>
    </row>
    <row r="10" ht="15.75" customHeight="1" spans="1:47">
      <c r="A10" s="10" t="s">
        <v>614</v>
      </c>
      <c r="B10" s="11" t="s">
        <v>607</v>
      </c>
      <c r="C10" s="12">
        <v>1</v>
      </c>
      <c r="D10" s="16" t="s">
        <v>563</v>
      </c>
      <c r="E10" s="12" t="s">
        <v>563</v>
      </c>
      <c r="F10" s="172" t="s">
        <v>615</v>
      </c>
      <c r="G10" s="12" t="s">
        <v>595</v>
      </c>
      <c r="H10" s="16" t="s">
        <v>53</v>
      </c>
      <c r="I10" s="176" t="s">
        <v>607</v>
      </c>
      <c r="J10" s="172" t="s">
        <v>616</v>
      </c>
      <c r="K10" s="12" t="s">
        <v>595</v>
      </c>
      <c r="L10" s="16" t="s">
        <v>86</v>
      </c>
      <c r="M10" s="12" t="s">
        <v>597</v>
      </c>
      <c r="N10" s="172" t="s">
        <v>617</v>
      </c>
      <c r="O10" s="12" t="s">
        <v>565</v>
      </c>
      <c r="P10" s="16" t="s">
        <v>563</v>
      </c>
      <c r="Q10" s="12" t="s">
        <v>618</v>
      </c>
      <c r="R10" s="11" t="s">
        <v>619</v>
      </c>
      <c r="S10" s="13" t="s">
        <v>565</v>
      </c>
      <c r="T10" s="13"/>
      <c r="U10" s="13"/>
      <c r="V10" s="11" t="s">
        <v>620</v>
      </c>
      <c r="W10" s="13" t="s">
        <v>565</v>
      </c>
      <c r="X10" s="13"/>
      <c r="Y10" s="13"/>
      <c r="Z10" s="11" t="s">
        <v>621</v>
      </c>
      <c r="AA10" s="13" t="s">
        <v>565</v>
      </c>
      <c r="AB10" s="16"/>
      <c r="AC10" s="13"/>
      <c r="AD10" s="11" t="s">
        <v>622</v>
      </c>
      <c r="AE10" s="13" t="s">
        <v>565</v>
      </c>
      <c r="AF10" s="13"/>
      <c r="AG10" s="13"/>
      <c r="AH10" s="192"/>
      <c r="AI10" s="11" t="s">
        <v>623</v>
      </c>
      <c r="AJ10" s="13" t="s">
        <v>565</v>
      </c>
      <c r="AK10" s="13"/>
      <c r="AL10" s="13"/>
      <c r="AM10" s="11" t="s">
        <v>624</v>
      </c>
      <c r="AN10" s="13" t="s">
        <v>565</v>
      </c>
      <c r="AO10" s="16"/>
      <c r="AP10" s="13"/>
      <c r="AU10" s="41"/>
    </row>
    <row r="11" s="51" customFormat="1" ht="46.5" customHeight="1" spans="1:47">
      <c r="A11" s="20"/>
      <c r="B11" s="42" t="s">
        <v>49</v>
      </c>
      <c r="C11" s="43"/>
      <c r="D11" s="43"/>
      <c r="E11" s="44"/>
      <c r="F11" s="21" t="s">
        <v>67</v>
      </c>
      <c r="G11" s="22"/>
      <c r="H11" s="22"/>
      <c r="I11" s="23"/>
      <c r="J11" s="21" t="s">
        <v>85</v>
      </c>
      <c r="K11" s="22"/>
      <c r="L11" s="22"/>
      <c r="M11" s="23"/>
      <c r="N11" s="21" t="s">
        <v>97</v>
      </c>
      <c r="O11" s="22"/>
      <c r="P11" s="22"/>
      <c r="Q11" s="23"/>
      <c r="R11" s="206" t="s">
        <v>625</v>
      </c>
      <c r="S11" s="207"/>
      <c r="T11" s="207"/>
      <c r="U11" s="208"/>
      <c r="V11" s="193" t="s">
        <v>579</v>
      </c>
      <c r="W11" s="194"/>
      <c r="X11" s="194"/>
      <c r="Y11" s="195"/>
      <c r="Z11" s="206" t="s">
        <v>625</v>
      </c>
      <c r="AA11" s="207"/>
      <c r="AB11" s="207"/>
      <c r="AC11" s="208"/>
      <c r="AD11" s="193" t="s">
        <v>579</v>
      </c>
      <c r="AE11" s="194"/>
      <c r="AF11" s="194"/>
      <c r="AG11" s="195"/>
      <c r="AI11" s="199" t="s">
        <v>626</v>
      </c>
      <c r="AJ11" s="200"/>
      <c r="AK11" s="200"/>
      <c r="AL11" s="201"/>
      <c r="AM11" s="199" t="s">
        <v>626</v>
      </c>
      <c r="AN11" s="200"/>
      <c r="AO11" s="200"/>
      <c r="AP11" s="201"/>
      <c r="AU11" s="39"/>
    </row>
    <row r="12" ht="15.75" spans="1:47">
      <c r="A12" s="10" t="s">
        <v>627</v>
      </c>
      <c r="B12" s="11" t="s">
        <v>595</v>
      </c>
      <c r="C12" s="12">
        <v>3</v>
      </c>
      <c r="D12" s="16"/>
      <c r="E12" s="12" t="s">
        <v>563</v>
      </c>
      <c r="N12" s="172" t="s">
        <v>628</v>
      </c>
      <c r="O12" s="12" t="s">
        <v>629</v>
      </c>
      <c r="P12" s="16"/>
      <c r="Q12" s="12">
        <v>7</v>
      </c>
      <c r="V12" s="11" t="s">
        <v>630</v>
      </c>
      <c r="W12" s="13" t="s">
        <v>565</v>
      </c>
      <c r="X12" s="13"/>
      <c r="Y12" s="13"/>
      <c r="Z12" s="11" t="s">
        <v>631</v>
      </c>
      <c r="AA12" s="13" t="s">
        <v>565</v>
      </c>
      <c r="AB12" s="16" t="s">
        <v>632</v>
      </c>
      <c r="AC12" s="17" t="s">
        <v>633</v>
      </c>
      <c r="AH12" s="192"/>
      <c r="AI12" s="11" t="s">
        <v>634</v>
      </c>
      <c r="AJ12" s="13" t="s">
        <v>565</v>
      </c>
      <c r="AK12" s="13"/>
      <c r="AL12" s="13"/>
      <c r="AM12" s="11" t="s">
        <v>635</v>
      </c>
      <c r="AN12" s="13" t="s">
        <v>565</v>
      </c>
      <c r="AO12" s="16"/>
      <c r="AP12" s="13"/>
      <c r="AU12" s="41"/>
    </row>
    <row r="13" s="51" customFormat="1" ht="54.95" customHeight="1" spans="1:47">
      <c r="A13" s="20"/>
      <c r="B13" s="48" t="s">
        <v>59</v>
      </c>
      <c r="C13" s="49"/>
      <c r="D13" s="49"/>
      <c r="E13" s="50"/>
      <c r="H13" s="101"/>
      <c r="L13" s="101"/>
      <c r="N13" s="67" t="s">
        <v>101</v>
      </c>
      <c r="O13" s="68"/>
      <c r="P13" s="68"/>
      <c r="Q13" s="69"/>
      <c r="T13" s="101"/>
      <c r="V13" s="206" t="s">
        <v>625</v>
      </c>
      <c r="W13" s="207"/>
      <c r="X13" s="207"/>
      <c r="Y13" s="208"/>
      <c r="Z13" s="48" t="s">
        <v>426</v>
      </c>
      <c r="AA13" s="49"/>
      <c r="AB13" s="49"/>
      <c r="AC13" s="50"/>
      <c r="AI13" s="199" t="s">
        <v>626</v>
      </c>
      <c r="AJ13" s="200"/>
      <c r="AK13" s="200"/>
      <c r="AL13" s="201"/>
      <c r="AM13" s="199" t="s">
        <v>626</v>
      </c>
      <c r="AN13" s="200"/>
      <c r="AO13" s="200"/>
      <c r="AP13" s="201"/>
      <c r="AU13" s="39"/>
    </row>
    <row r="14" customHeight="1" spans="1:47">
      <c r="A14" s="59" t="s">
        <v>636</v>
      </c>
      <c r="B14" s="11" t="s">
        <v>565</v>
      </c>
      <c r="C14" s="12">
        <v>3</v>
      </c>
      <c r="D14" s="16" t="s">
        <v>563</v>
      </c>
      <c r="E14" s="12" t="s">
        <v>563</v>
      </c>
      <c r="F14" s="172" t="s">
        <v>637</v>
      </c>
      <c r="G14" s="12" t="s">
        <v>629</v>
      </c>
      <c r="H14" s="16" t="s">
        <v>563</v>
      </c>
      <c r="I14" s="12" t="s">
        <v>565</v>
      </c>
      <c r="J14" s="172" t="s">
        <v>610</v>
      </c>
      <c r="K14" s="12" t="s">
        <v>629</v>
      </c>
      <c r="L14" s="16" t="s">
        <v>563</v>
      </c>
      <c r="M14" s="12" t="s">
        <v>637</v>
      </c>
      <c r="N14" s="172" t="s">
        <v>638</v>
      </c>
      <c r="O14" s="12" t="s">
        <v>607</v>
      </c>
      <c r="P14" s="16" t="s">
        <v>563</v>
      </c>
      <c r="Q14" s="12" t="s">
        <v>563</v>
      </c>
      <c r="R14" s="11" t="s">
        <v>639</v>
      </c>
      <c r="S14" s="13" t="s">
        <v>629</v>
      </c>
      <c r="T14" s="13" t="s">
        <v>563</v>
      </c>
      <c r="U14" s="13" t="s">
        <v>628</v>
      </c>
      <c r="V14" s="60"/>
      <c r="W14" s="60"/>
      <c r="X14" s="60"/>
      <c r="Y14" s="60"/>
      <c r="Z14" s="61"/>
      <c r="AA14" s="62"/>
      <c r="AB14" s="209"/>
      <c r="AC14" s="63"/>
      <c r="AD14" s="11" t="s">
        <v>640</v>
      </c>
      <c r="AE14" s="13" t="s">
        <v>629</v>
      </c>
      <c r="AF14" s="13" t="s">
        <v>563</v>
      </c>
      <c r="AG14" s="13" t="s">
        <v>563</v>
      </c>
      <c r="AI14" s="60"/>
      <c r="AJ14" s="60"/>
      <c r="AK14" s="60"/>
      <c r="AL14" s="60"/>
      <c r="AM14" s="11" t="s">
        <v>641</v>
      </c>
      <c r="AN14" s="13" t="s">
        <v>642</v>
      </c>
      <c r="AO14" s="16" t="s">
        <v>643</v>
      </c>
      <c r="AP14" s="13" t="s">
        <v>644</v>
      </c>
      <c r="AU14" s="60"/>
    </row>
    <row r="15" ht="46.5" customHeight="1" spans="1:47">
      <c r="A15" s="20"/>
      <c r="B15" s="64" t="s">
        <v>645</v>
      </c>
      <c r="C15" s="65"/>
      <c r="D15" s="65"/>
      <c r="E15" s="66"/>
      <c r="F15" s="67" t="s">
        <v>646</v>
      </c>
      <c r="G15" s="68"/>
      <c r="H15" s="68"/>
      <c r="I15" s="69"/>
      <c r="J15" s="67" t="s">
        <v>647</v>
      </c>
      <c r="K15" s="68"/>
      <c r="L15" s="68"/>
      <c r="M15" s="69"/>
      <c r="N15" s="67" t="s">
        <v>648</v>
      </c>
      <c r="O15" s="68"/>
      <c r="P15" s="68"/>
      <c r="Q15" s="69"/>
      <c r="R15" s="67" t="s">
        <v>320</v>
      </c>
      <c r="S15" s="68"/>
      <c r="T15" s="68"/>
      <c r="U15" s="69"/>
      <c r="V15" s="70"/>
      <c r="W15" s="70"/>
      <c r="X15" s="70"/>
      <c r="Z15" s="70"/>
      <c r="AA15" s="70"/>
      <c r="AB15" s="70"/>
      <c r="AC15" s="71"/>
      <c r="AD15" s="79" t="s">
        <v>649</v>
      </c>
      <c r="AE15" s="80"/>
      <c r="AF15" s="80"/>
      <c r="AG15" s="81"/>
      <c r="AM15" s="88" t="s">
        <v>650</v>
      </c>
      <c r="AN15" s="89"/>
      <c r="AO15" s="89"/>
      <c r="AP15" s="90"/>
    </row>
    <row r="16" ht="16.35" customHeight="1" spans="1:47">
      <c r="A16" s="10" t="s">
        <v>651</v>
      </c>
      <c r="B16" s="11" t="s">
        <v>652</v>
      </c>
      <c r="C16" s="12">
        <v>3</v>
      </c>
      <c r="D16" s="16" t="s">
        <v>563</v>
      </c>
      <c r="E16" s="12" t="s">
        <v>563</v>
      </c>
      <c r="F16" s="172" t="s">
        <v>653</v>
      </c>
      <c r="G16" s="12">
        <v>3</v>
      </c>
      <c r="H16" s="16" t="s">
        <v>563</v>
      </c>
      <c r="I16" s="12" t="s">
        <v>563</v>
      </c>
      <c r="J16" s="172" t="s">
        <v>654</v>
      </c>
      <c r="K16" s="12" t="s">
        <v>607</v>
      </c>
      <c r="L16" s="16" t="s">
        <v>563</v>
      </c>
      <c r="M16" s="12" t="s">
        <v>563</v>
      </c>
      <c r="N16" s="60"/>
      <c r="O16" s="60"/>
      <c r="P16" s="78"/>
      <c r="Q16" s="60"/>
      <c r="R16" s="11" t="s">
        <v>655</v>
      </c>
      <c r="S16" s="13" t="s">
        <v>607</v>
      </c>
      <c r="T16" s="13" t="s">
        <v>563</v>
      </c>
      <c r="U16" s="13" t="s">
        <v>563</v>
      </c>
      <c r="V16" s="60"/>
      <c r="W16" s="60"/>
      <c r="X16" s="60"/>
      <c r="Z16" s="60"/>
      <c r="AA16" s="60"/>
      <c r="AB16" s="78"/>
      <c r="AC16" s="60"/>
      <c r="AD16" s="60"/>
      <c r="AE16" s="60"/>
      <c r="AF16" s="60"/>
    </row>
    <row r="17" ht="46.5" customHeight="1" spans="1:47">
      <c r="A17" s="20"/>
      <c r="B17" s="67" t="s">
        <v>46</v>
      </c>
      <c r="C17" s="68"/>
      <c r="D17" s="68"/>
      <c r="E17" s="69"/>
      <c r="F17" s="79" t="s">
        <v>649</v>
      </c>
      <c r="G17" s="80"/>
      <c r="H17" s="80"/>
      <c r="I17" s="81"/>
      <c r="J17" s="67" t="s">
        <v>648</v>
      </c>
      <c r="K17" s="68"/>
      <c r="L17" s="68"/>
      <c r="M17" s="69"/>
      <c r="N17" s="70"/>
      <c r="O17" s="70"/>
      <c r="P17" s="82"/>
      <c r="Q17" s="70"/>
      <c r="R17" s="67" t="s">
        <v>648</v>
      </c>
      <c r="S17" s="68"/>
      <c r="T17" s="68"/>
      <c r="U17" s="69"/>
      <c r="V17" s="70"/>
      <c r="W17" s="70"/>
      <c r="X17" s="70"/>
      <c r="AC17" s="70"/>
      <c r="AD17" s="70"/>
      <c r="AE17" s="70"/>
      <c r="AF17" s="70"/>
      <c r="AI17" t="s">
        <v>656</v>
      </c>
    </row>
    <row r="18" ht="15.75" spans="1:47">
      <c r="A18" s="83"/>
      <c r="B18" s="60"/>
      <c r="C18" s="60"/>
      <c r="D18" s="78"/>
      <c r="E18" s="60"/>
      <c r="F18" s="60"/>
      <c r="G18" s="60"/>
      <c r="H18" s="78"/>
      <c r="I18" s="60"/>
      <c r="J18" s="60"/>
      <c r="K18" s="60"/>
      <c r="L18" s="78"/>
      <c r="M18" s="60"/>
      <c r="N18" s="60"/>
      <c r="O18" s="60"/>
      <c r="P18" s="78"/>
      <c r="Q18" s="60"/>
      <c r="R18" s="60"/>
      <c r="S18" s="60"/>
      <c r="T18" s="60"/>
      <c r="U18" s="60"/>
      <c r="V18" s="60"/>
      <c r="W18" s="60"/>
      <c r="X18" s="11" t="s">
        <v>657</v>
      </c>
      <c r="Y18" s="13" t="s">
        <v>637</v>
      </c>
      <c r="Z18" s="13" t="s">
        <v>257</v>
      </c>
      <c r="AA18" s="17" t="s">
        <v>658</v>
      </c>
      <c r="AO18" s="210">
        <v>59</v>
      </c>
      <c r="AP18" s="13" t="s">
        <v>637</v>
      </c>
      <c r="AQ18" s="13" t="s">
        <v>659</v>
      </c>
      <c r="AR18" s="17" t="s">
        <v>660</v>
      </c>
    </row>
    <row r="19" ht="38.1" customHeight="1" spans="1:47">
      <c r="A19" s="86"/>
      <c r="B19" s="86"/>
      <c r="C19" s="86"/>
      <c r="D19" s="87"/>
      <c r="E19" s="11" t="s">
        <v>549</v>
      </c>
      <c r="F19" s="13" t="s">
        <v>661</v>
      </c>
      <c r="G19" s="13"/>
      <c r="H19" s="17"/>
      <c r="I19" s="86"/>
      <c r="J19" s="86"/>
      <c r="K19" s="86"/>
      <c r="L19" s="87"/>
      <c r="M19" s="86"/>
      <c r="N19" s="86"/>
      <c r="O19" s="86"/>
      <c r="P19" s="87"/>
      <c r="Q19" s="86"/>
      <c r="R19" s="86"/>
      <c r="S19" s="86"/>
      <c r="T19" s="86"/>
      <c r="U19" s="86"/>
      <c r="V19" s="86"/>
      <c r="W19" s="86"/>
      <c r="X19" s="88" t="s">
        <v>447</v>
      </c>
      <c r="Y19" s="89"/>
      <c r="Z19" s="89"/>
      <c r="AA19" s="90"/>
      <c r="AB19" s="87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8" t="s">
        <v>463</v>
      </c>
      <c r="AP19" s="89"/>
      <c r="AQ19" s="89"/>
      <c r="AR19" s="90"/>
      <c r="AS19" s="86"/>
      <c r="AT19" s="86"/>
      <c r="AU19" s="86"/>
    </row>
    <row r="20" ht="38.1" customHeight="1" spans="1:47">
      <c r="A20" s="86"/>
      <c r="B20" s="86"/>
      <c r="C20" s="86"/>
      <c r="D20" s="87"/>
      <c r="E20" s="88" t="s">
        <v>662</v>
      </c>
      <c r="F20" s="89"/>
      <c r="G20" s="89"/>
      <c r="H20" s="90"/>
      <c r="I20" s="86"/>
      <c r="J20" s="86"/>
      <c r="K20" s="86"/>
      <c r="L20" s="87"/>
      <c r="M20" s="86"/>
      <c r="N20" s="86"/>
      <c r="O20" s="86"/>
      <c r="P20" s="87"/>
      <c r="Q20" s="86"/>
      <c r="R20" s="86"/>
      <c r="S20" s="86"/>
      <c r="T20" s="86"/>
      <c r="U20" s="86"/>
      <c r="V20" s="86"/>
      <c r="W20" s="86"/>
      <c r="X20" s="70"/>
      <c r="Y20" s="70"/>
      <c r="Z20" s="70"/>
      <c r="AA20" s="70"/>
      <c r="AB20" s="87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70"/>
      <c r="AP20" s="70"/>
      <c r="AQ20" s="70"/>
      <c r="AR20" s="70"/>
      <c r="AS20" s="86"/>
      <c r="AT20" s="86"/>
      <c r="AU20" s="86"/>
    </row>
    <row r="21" ht="38.1" customHeight="1" spans="1:47">
      <c r="A21" s="86"/>
      <c r="B21" s="86"/>
      <c r="C21" s="86"/>
      <c r="D21" s="87"/>
      <c r="E21" s="86"/>
      <c r="F21" s="86"/>
      <c r="G21" s="86"/>
      <c r="H21" s="87"/>
      <c r="I21" s="86"/>
      <c r="J21" s="86"/>
      <c r="K21" s="86"/>
      <c r="L21" s="87"/>
      <c r="M21" s="86"/>
      <c r="N21" s="86"/>
      <c r="O21" s="86"/>
      <c r="P21" s="87"/>
      <c r="Q21" s="86"/>
      <c r="R21" s="86"/>
      <c r="S21" s="86"/>
      <c r="T21" s="86"/>
      <c r="U21" s="86"/>
      <c r="V21" s="86"/>
      <c r="W21" s="86"/>
      <c r="X21" s="70"/>
      <c r="Y21" s="70"/>
      <c r="Z21" s="70"/>
      <c r="AA21" s="70"/>
      <c r="AB21" s="87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70"/>
      <c r="AP21" s="70"/>
      <c r="AQ21" s="70"/>
      <c r="AR21" s="70"/>
      <c r="AS21" s="86"/>
      <c r="AT21" s="86"/>
      <c r="AU21" s="86"/>
    </row>
    <row r="22" customHeight="1" spans="1:47">
      <c r="B22" s="11" t="s">
        <v>663</v>
      </c>
      <c r="C22" s="12" t="s">
        <v>664</v>
      </c>
      <c r="D22" s="16" t="s">
        <v>665</v>
      </c>
      <c r="E22" s="12" t="s">
        <v>666</v>
      </c>
    </row>
    <row r="23" ht="42" customHeight="1" spans="1:47">
      <c r="B23" s="211" t="s">
        <v>667</v>
      </c>
      <c r="C23" s="212"/>
      <c r="D23" s="212"/>
      <c r="E23" s="213"/>
    </row>
    <row r="25" ht="46.5" customHeight="1" spans="1:47">
      <c r="B25" s="102"/>
      <c r="C25" s="102"/>
      <c r="D25" s="103"/>
      <c r="E25" s="102"/>
    </row>
  </sheetData>
  <mergeCells count="89">
    <mergeCell ref="B2:I2"/>
    <mergeCell ref="J2:Q2"/>
    <mergeCell ref="R2:Y2"/>
    <mergeCell ref="Z2:AG2"/>
    <mergeCell ref="AI2:AP2"/>
    <mergeCell ref="AQ2:AT2"/>
    <mergeCell ref="B3:E3"/>
    <mergeCell ref="F3:I3"/>
    <mergeCell ref="J3:M3"/>
    <mergeCell ref="N3:Q3"/>
    <mergeCell ref="R3:U3"/>
    <mergeCell ref="V3:Y3"/>
    <mergeCell ref="Z3:AC3"/>
    <mergeCell ref="AD3:AG3"/>
    <mergeCell ref="AI3:AL3"/>
    <mergeCell ref="AM3:AP3"/>
    <mergeCell ref="AQ3:AT3"/>
    <mergeCell ref="B5:E5"/>
    <mergeCell ref="F5:I5"/>
    <mergeCell ref="J5:M5"/>
    <mergeCell ref="N5:Q5"/>
    <mergeCell ref="R5:U5"/>
    <mergeCell ref="V5:Y5"/>
    <mergeCell ref="Z5:AC5"/>
    <mergeCell ref="AD5:AG5"/>
    <mergeCell ref="AI5:AL5"/>
    <mergeCell ref="AM5:AP5"/>
    <mergeCell ref="AQ5:AT5"/>
    <mergeCell ref="B7:E7"/>
    <mergeCell ref="F7:I7"/>
    <mergeCell ref="J7:M7"/>
    <mergeCell ref="N7:Q7"/>
    <mergeCell ref="R7:U7"/>
    <mergeCell ref="V7:Y7"/>
    <mergeCell ref="Z7:AC7"/>
    <mergeCell ref="AD7:AG7"/>
    <mergeCell ref="AI7:AL7"/>
    <mergeCell ref="AM7:AP7"/>
    <mergeCell ref="AQ7:AT7"/>
    <mergeCell ref="B9:E9"/>
    <mergeCell ref="F9:I9"/>
    <mergeCell ref="J9:M9"/>
    <mergeCell ref="N9:Q9"/>
    <mergeCell ref="R9:U9"/>
    <mergeCell ref="V9:Y9"/>
    <mergeCell ref="Z9:AC9"/>
    <mergeCell ref="AD9:AG9"/>
    <mergeCell ref="AI9:AL9"/>
    <mergeCell ref="AM9:AP9"/>
    <mergeCell ref="AQ9:AT9"/>
    <mergeCell ref="B11:E11"/>
    <mergeCell ref="F11:I11"/>
    <mergeCell ref="J11:M11"/>
    <mergeCell ref="N11:Q11"/>
    <mergeCell ref="R11:U11"/>
    <mergeCell ref="V11:Y11"/>
    <mergeCell ref="Z11:AC11"/>
    <mergeCell ref="AD11:AG11"/>
    <mergeCell ref="AI11:AL11"/>
    <mergeCell ref="AM11:AP11"/>
    <mergeCell ref="B13:E13"/>
    <mergeCell ref="N13:Q13"/>
    <mergeCell ref="V13:Y13"/>
    <mergeCell ref="Z13:AC13"/>
    <mergeCell ref="AI13:AL13"/>
    <mergeCell ref="AM13:AP13"/>
    <mergeCell ref="B15:E15"/>
    <mergeCell ref="F15:I15"/>
    <mergeCell ref="J15:M15"/>
    <mergeCell ref="N15:Q15"/>
    <mergeCell ref="R15:U15"/>
    <mergeCell ref="Z15:AC15"/>
    <mergeCell ref="AD15:AG15"/>
    <mergeCell ref="AM15:AP15"/>
    <mergeCell ref="B17:E17"/>
    <mergeCell ref="F17:I17"/>
    <mergeCell ref="J17:M17"/>
    <mergeCell ref="R17:U17"/>
    <mergeCell ref="X19:AA19"/>
    <mergeCell ref="AO19:AR19"/>
    <mergeCell ref="E20:H20"/>
    <mergeCell ref="B23:E23"/>
    <mergeCell ref="A4:A5"/>
    <mergeCell ref="A6:A7"/>
    <mergeCell ref="A8:A9"/>
    <mergeCell ref="A10:A11"/>
    <mergeCell ref="A12:A13"/>
    <mergeCell ref="A14:A15"/>
    <mergeCell ref="A16:A17"/>
  </mergeCells>
  <pageMargins left="0.7" right="0.7" top="0.75" bottom="0.75" header="0.3" footer="0.3"/>
  <pageSetup paperSize="1" scale="45" orientation="landscape"/>
  <headerFooter/>
  <ignoredErrors>
    <ignoredError sqref="AP18 AS18:AT18 AA18:AN18 V18:Y18 K9 G9 X15 Z10:AC11 V13:Y13 V17:AT17 V10:Y10 Y14:Y15 V12:Z12 V14:X14 V15:W16 AA13:AB13 U8:AB8 U6:AC6 U4:AC4 X16:AS16 AC12:AC13 AC8 AE6:AH6 AE4:AF4 AE10:AH10 AE8:AH8 AH4 AH12 AH15:AP15 AQ14:AR15 AR8 AL4 AL6 AJ4 AJ6 AT9:AT16 AE5:AJ5 AH7:AT7 AH11:AR11 AJ8:AL8 AL5:AT5 AH9:AM9 AO9:AR9 AH14:AL14 AK4:AK6 AJ10:AL10 AH13:AR13 AJ12:AL12 AS9:AS15 AN14 AR4:AT4 AR6:AT6 AN4:AP4 AN6:AP6 AN8:AN9 AN10:AR10 AN12:AR12 P5:Q5 P4:S4 R6:S6 R8:S8 Q15:Q16 S11 M5 N12:O12 I5:K5 I9 I7:K8 I10:K11 E4:G8 E9 F11:G11 F10 B5:C5 B4 B6 B7:C9 M7:O11 U11 R10:S10 Q11 N14:O16 Q9 N4:O6 J6:K6 Q7 J4:K4" numberStoredAsText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AU25"/>
  <sheetViews>
    <sheetView zoomScale="70" zoomScaleNormal="70" workbookViewId="0">
      <selection activeCell="AO14" sqref="AO14"/>
    </sheetView>
  </sheetViews>
  <sheetFormatPr defaultColWidth="10.5714285714286" defaultRowHeight="15"/>
  <cols>
    <col min="1" max="1" width="10.5714285714286" style="2" customWidth="1"/>
    <col min="2" max="2" width="3.57142857142857" style="2" customWidth="1"/>
    <col min="3" max="5" width="5.42857142857143" style="2" customWidth="1"/>
    <col min="6" max="6" width="3.57142857142857" style="2" customWidth="1"/>
    <col min="7" max="9" width="5.42857142857143" style="2" customWidth="1"/>
    <col min="10" max="10" width="3.57142857142857" style="2" customWidth="1"/>
    <col min="11" max="11" width="5.42857142857143" style="2" customWidth="1"/>
    <col min="12" max="12" width="5.42857142857143" style="3" customWidth="1"/>
    <col min="13" max="13" width="5.42857142857143" style="2" customWidth="1"/>
    <col min="14" max="14" width="3.57142857142857" style="2" customWidth="1"/>
    <col min="15" max="15" width="5.42857142857143" style="2" customWidth="1"/>
    <col min="16" max="16" width="5.42857142857143" style="3" customWidth="1"/>
    <col min="17" max="17" width="7.57142857142857" style="2" customWidth="1"/>
    <col min="18" max="18" width="5.14285714285714" style="2" customWidth="1"/>
    <col min="19" max="21" width="5.42857142857143" style="2" customWidth="1"/>
    <col min="22" max="22" width="3.57142857142857" style="2" customWidth="1"/>
    <col min="23" max="25" width="5.42857142857143" style="2" customWidth="1"/>
    <col min="26" max="26" width="4" style="2" customWidth="1"/>
    <col min="27" max="29" width="5.42857142857143" style="2" customWidth="1"/>
    <col min="30" max="30" width="3.57142857142857" style="2" customWidth="1"/>
    <col min="31" max="32" width="5.42857142857143" style="2" customWidth="1"/>
    <col min="33" max="33" width="8.14285714285714" style="2" customWidth="1"/>
    <col min="34" max="34" width="5.42857142857143" style="2" customWidth="1"/>
    <col min="35" max="35" width="3.57142857142857" style="2" customWidth="1"/>
    <col min="36" max="36" width="5.42857142857143" style="2" customWidth="1"/>
    <col min="37" max="37" width="6" style="2" customWidth="1"/>
    <col min="38" max="38" width="5.42857142857143" style="2" customWidth="1"/>
    <col min="39" max="39" width="3.57142857142857" style="2" customWidth="1"/>
    <col min="40" max="42" width="5.42857142857143" style="2" customWidth="1"/>
    <col min="43" max="43" width="7.42857142857143" style="2" customWidth="1"/>
    <col min="44" max="45" width="5.42857142857143" style="2" customWidth="1"/>
    <col min="46" max="46" width="6.42857142857143" style="2" customWidth="1"/>
    <col min="47" max="47" width="3" style="2" customWidth="1"/>
    <col min="48" max="48" width="3.57142857142857" style="2" customWidth="1"/>
    <col min="49" max="51" width="5.42857142857143" style="2" customWidth="1"/>
    <col min="52" max="16384" width="10.5714285714286" style="2"/>
  </cols>
  <sheetData>
    <row r="1" ht="15.75"/>
    <row r="2" ht="15.75" spans="1:47">
      <c r="B2" s="5" t="s">
        <v>556</v>
      </c>
      <c r="C2" s="5"/>
      <c r="D2" s="5"/>
      <c r="E2" s="5"/>
      <c r="F2" s="5"/>
      <c r="G2" s="5"/>
      <c r="H2" s="5"/>
      <c r="I2" s="5"/>
      <c r="J2" s="6" t="s">
        <v>557</v>
      </c>
      <c r="K2" s="7"/>
      <c r="L2" s="7"/>
      <c r="M2" s="7"/>
      <c r="N2" s="7"/>
      <c r="O2" s="7"/>
      <c r="P2" s="7"/>
      <c r="Q2" s="8"/>
      <c r="R2" s="5" t="s">
        <v>558</v>
      </c>
      <c r="S2" s="5"/>
      <c r="T2" s="5"/>
      <c r="U2" s="5"/>
      <c r="V2" s="5"/>
      <c r="W2" s="5"/>
      <c r="X2" s="5"/>
      <c r="Y2" s="5"/>
      <c r="Z2" s="6" t="s">
        <v>559</v>
      </c>
      <c r="AA2" s="7"/>
      <c r="AB2" s="7"/>
      <c r="AC2" s="7"/>
      <c r="AD2" s="7"/>
      <c r="AE2" s="7"/>
      <c r="AF2" s="7"/>
      <c r="AG2" s="8"/>
      <c r="AI2" s="5" t="s">
        <v>560</v>
      </c>
      <c r="AJ2" s="5"/>
      <c r="AK2" s="5"/>
      <c r="AL2" s="5"/>
      <c r="AM2" s="5"/>
      <c r="AN2" s="5"/>
      <c r="AO2" s="5"/>
      <c r="AP2" s="5"/>
      <c r="AQ2" s="6" t="s">
        <v>561</v>
      </c>
      <c r="AR2" s="7"/>
      <c r="AS2" s="7"/>
      <c r="AT2" s="8"/>
      <c r="AU2" s="9"/>
    </row>
    <row r="3" ht="15.75" spans="1:47">
      <c r="B3" s="6">
        <v>1</v>
      </c>
      <c r="C3" s="7"/>
      <c r="D3" s="7"/>
      <c r="E3" s="8"/>
      <c r="F3" s="6">
        <v>2</v>
      </c>
      <c r="G3" s="7"/>
      <c r="H3" s="7"/>
      <c r="I3" s="8"/>
      <c r="J3" s="6">
        <v>1</v>
      </c>
      <c r="K3" s="7"/>
      <c r="L3" s="7"/>
      <c r="M3" s="8"/>
      <c r="N3" s="6">
        <v>2</v>
      </c>
      <c r="O3" s="7"/>
      <c r="P3" s="7"/>
      <c r="Q3" s="8"/>
      <c r="R3" s="6">
        <v>1</v>
      </c>
      <c r="S3" s="7"/>
      <c r="T3" s="7"/>
      <c r="U3" s="8"/>
      <c r="V3" s="6">
        <v>2</v>
      </c>
      <c r="W3" s="7"/>
      <c r="X3" s="7"/>
      <c r="Y3" s="8"/>
      <c r="Z3" s="6">
        <v>1</v>
      </c>
      <c r="AA3" s="7"/>
      <c r="AB3" s="7"/>
      <c r="AC3" s="8"/>
      <c r="AD3" s="6">
        <v>2</v>
      </c>
      <c r="AE3" s="7"/>
      <c r="AF3" s="7"/>
      <c r="AG3" s="8"/>
      <c r="AI3" s="6">
        <v>1</v>
      </c>
      <c r="AJ3" s="7"/>
      <c r="AK3" s="7"/>
      <c r="AL3" s="8"/>
      <c r="AM3" s="6">
        <v>2</v>
      </c>
      <c r="AN3" s="7"/>
      <c r="AO3" s="7"/>
      <c r="AP3" s="8"/>
      <c r="AQ3" s="6">
        <v>1</v>
      </c>
      <c r="AR3" s="7"/>
      <c r="AS3" s="7"/>
      <c r="AT3" s="8"/>
      <c r="AU3" s="9"/>
    </row>
    <row r="4" ht="15.75" customHeight="1" spans="1:47">
      <c r="A4" s="10" t="s">
        <v>562</v>
      </c>
      <c r="B4" s="11">
        <v>1</v>
      </c>
      <c r="C4" s="12">
        <v>10</v>
      </c>
      <c r="D4" s="12" t="str">
        <f>'Malla base'!D4</f>
        <v>-</v>
      </c>
      <c r="E4" s="12" t="s">
        <v>563</v>
      </c>
      <c r="F4" s="172" t="s">
        <v>564</v>
      </c>
      <c r="G4" s="12" t="s">
        <v>565</v>
      </c>
      <c r="H4" s="12" t="s">
        <v>563</v>
      </c>
      <c r="I4" s="173" t="s">
        <v>566</v>
      </c>
      <c r="J4" s="174" t="s">
        <v>567</v>
      </c>
      <c r="K4" s="12" t="s">
        <v>565</v>
      </c>
      <c r="L4" s="16" t="s">
        <v>563</v>
      </c>
      <c r="M4" s="13" t="s">
        <v>568</v>
      </c>
      <c r="N4" s="15" t="s">
        <v>569</v>
      </c>
      <c r="O4" s="13" t="s">
        <v>565</v>
      </c>
      <c r="P4" s="16" t="s">
        <v>563</v>
      </c>
      <c r="Q4" s="13" t="s">
        <v>570</v>
      </c>
      <c r="R4" s="15" t="s">
        <v>571</v>
      </c>
      <c r="S4" s="13" t="s">
        <v>565</v>
      </c>
      <c r="T4" s="13"/>
      <c r="U4" s="13" t="s">
        <v>570</v>
      </c>
      <c r="V4" s="15" t="s">
        <v>572</v>
      </c>
      <c r="W4" s="13" t="s">
        <v>565</v>
      </c>
      <c r="X4" s="13"/>
      <c r="Y4" s="175" t="s">
        <v>668</v>
      </c>
      <c r="Z4" s="15" t="s">
        <v>573</v>
      </c>
      <c r="AA4" s="13" t="s">
        <v>565</v>
      </c>
      <c r="AB4" s="13"/>
      <c r="AC4" s="13" t="s">
        <v>669</v>
      </c>
      <c r="AD4" s="15" t="s">
        <v>574</v>
      </c>
      <c r="AE4" s="13" t="s">
        <v>575</v>
      </c>
      <c r="AF4" s="13" t="s">
        <v>156</v>
      </c>
      <c r="AG4" s="17" t="s">
        <v>670</v>
      </c>
      <c r="AH4" s="18"/>
      <c r="AI4" s="15" t="s">
        <v>576</v>
      </c>
      <c r="AJ4" s="13" t="s">
        <v>565</v>
      </c>
      <c r="AK4" s="13"/>
      <c r="AL4" s="13" t="s">
        <v>620</v>
      </c>
      <c r="AM4" s="15" t="s">
        <v>577</v>
      </c>
      <c r="AN4" s="13" t="s">
        <v>565</v>
      </c>
      <c r="AO4" s="13" t="s">
        <v>264</v>
      </c>
      <c r="AP4" s="13" t="s">
        <v>574</v>
      </c>
      <c r="AQ4" s="15" t="s">
        <v>578</v>
      </c>
      <c r="AR4" s="13" t="s">
        <v>565</v>
      </c>
      <c r="AS4" s="17"/>
      <c r="AT4" s="13"/>
      <c r="AU4" s="19"/>
    </row>
    <row r="5" s="1" customFormat="1" ht="46.5" customHeight="1" spans="1:47">
      <c r="A5" s="20"/>
      <c r="B5" s="21" t="s">
        <v>37</v>
      </c>
      <c r="C5" s="22"/>
      <c r="D5" s="22"/>
      <c r="E5" s="23"/>
      <c r="F5" s="21" t="s">
        <v>62</v>
      </c>
      <c r="G5" s="22"/>
      <c r="H5" s="22"/>
      <c r="I5" s="23"/>
      <c r="J5" s="24" t="s">
        <v>81</v>
      </c>
      <c r="K5" s="25"/>
      <c r="L5" s="25"/>
      <c r="M5" s="26"/>
      <c r="N5" s="24" t="s">
        <v>104</v>
      </c>
      <c r="O5" s="25"/>
      <c r="P5" s="25"/>
      <c r="Q5" s="26"/>
      <c r="R5" s="27" t="s">
        <v>226</v>
      </c>
      <c r="S5" s="28"/>
      <c r="T5" s="28"/>
      <c r="U5" s="29"/>
      <c r="V5" s="27" t="s">
        <v>232</v>
      </c>
      <c r="W5" s="28"/>
      <c r="X5" s="28"/>
      <c r="Y5" s="29"/>
      <c r="Z5" s="27" t="s">
        <v>241</v>
      </c>
      <c r="AA5" s="28"/>
      <c r="AB5" s="28"/>
      <c r="AC5" s="29"/>
      <c r="AD5" s="27" t="s">
        <v>243</v>
      </c>
      <c r="AE5" s="28"/>
      <c r="AF5" s="28"/>
      <c r="AG5" s="29"/>
      <c r="AI5" s="30" t="s">
        <v>259</v>
      </c>
      <c r="AJ5" s="31"/>
      <c r="AK5" s="31"/>
      <c r="AL5" s="32"/>
      <c r="AM5" s="30" t="s">
        <v>263</v>
      </c>
      <c r="AN5" s="31"/>
      <c r="AO5" s="31"/>
      <c r="AP5" s="32"/>
      <c r="AQ5" s="33" t="s">
        <v>582</v>
      </c>
      <c r="AR5" s="34"/>
      <c r="AS5" s="34"/>
      <c r="AT5" s="35"/>
    </row>
    <row r="6" ht="15.75" spans="1:47">
      <c r="A6" s="10" t="s">
        <v>583</v>
      </c>
      <c r="B6" s="11">
        <v>2</v>
      </c>
      <c r="C6" s="12">
        <v>5</v>
      </c>
      <c r="D6" s="16" t="str">
        <f>'Malla base'!D6</f>
        <v>Ea</v>
      </c>
      <c r="E6" s="12" t="s">
        <v>563</v>
      </c>
      <c r="F6" s="172" t="s">
        <v>575</v>
      </c>
      <c r="G6" s="12" t="s">
        <v>565</v>
      </c>
      <c r="H6" s="12" t="s">
        <v>563</v>
      </c>
      <c r="I6" s="173" t="s">
        <v>584</v>
      </c>
      <c r="J6" s="174" t="s">
        <v>570</v>
      </c>
      <c r="K6" s="12" t="s">
        <v>565</v>
      </c>
      <c r="L6" s="16" t="s">
        <v>563</v>
      </c>
      <c r="M6" s="13" t="s">
        <v>671</v>
      </c>
      <c r="N6" s="15" t="s">
        <v>585</v>
      </c>
      <c r="O6" s="13" t="s">
        <v>565</v>
      </c>
      <c r="P6" s="16" t="str">
        <f>'Malla base'!P6</f>
        <v>Eb</v>
      </c>
      <c r="Q6" s="13" t="s">
        <v>586</v>
      </c>
      <c r="R6" s="15" t="s">
        <v>587</v>
      </c>
      <c r="S6" s="13" t="s">
        <v>565</v>
      </c>
      <c r="T6" s="266" t="s">
        <v>156</v>
      </c>
      <c r="U6" s="13" t="s">
        <v>569</v>
      </c>
      <c r="V6" s="15" t="s">
        <v>588</v>
      </c>
      <c r="W6" s="13" t="s">
        <v>565</v>
      </c>
      <c r="X6" s="13"/>
      <c r="Y6" s="13" t="s">
        <v>672</v>
      </c>
      <c r="Z6" s="15" t="s">
        <v>589</v>
      </c>
      <c r="AA6" s="13" t="s">
        <v>565</v>
      </c>
      <c r="AB6" s="13" t="s">
        <v>135</v>
      </c>
      <c r="AC6" s="13" t="s">
        <v>587</v>
      </c>
      <c r="AD6" s="15" t="s">
        <v>590</v>
      </c>
      <c r="AE6" s="13" t="s">
        <v>565</v>
      </c>
      <c r="AF6" s="266" t="s">
        <v>135</v>
      </c>
      <c r="AG6" s="13" t="s">
        <v>673</v>
      </c>
      <c r="AH6" s="18"/>
      <c r="AI6" s="15" t="s">
        <v>591</v>
      </c>
      <c r="AJ6" s="13" t="s">
        <v>565</v>
      </c>
      <c r="AK6" s="13" t="s">
        <v>257</v>
      </c>
      <c r="AL6" s="13" t="s">
        <v>589</v>
      </c>
      <c r="AM6" s="15" t="s">
        <v>592</v>
      </c>
      <c r="AN6" s="13" t="s">
        <v>565</v>
      </c>
      <c r="AO6" s="13"/>
      <c r="AP6" s="13" t="s">
        <v>574</v>
      </c>
      <c r="AQ6" s="15" t="s">
        <v>593</v>
      </c>
      <c r="AR6" s="13" t="s">
        <v>565</v>
      </c>
      <c r="AS6" s="13"/>
      <c r="AT6" s="13"/>
      <c r="AU6" s="18"/>
    </row>
    <row r="7" s="1" customFormat="1" ht="46.5" customHeight="1" spans="1:47">
      <c r="A7" s="20"/>
      <c r="B7" s="21" t="s">
        <v>52</v>
      </c>
      <c r="C7" s="22"/>
      <c r="D7" s="22"/>
      <c r="E7" s="23"/>
      <c r="F7" s="21" t="s">
        <v>70</v>
      </c>
      <c r="G7" s="22"/>
      <c r="H7" s="22"/>
      <c r="I7" s="23"/>
      <c r="J7" s="24" t="s">
        <v>77</v>
      </c>
      <c r="K7" s="25"/>
      <c r="L7" s="25"/>
      <c r="M7" s="26"/>
      <c r="N7" s="24" t="s">
        <v>93</v>
      </c>
      <c r="O7" s="25"/>
      <c r="P7" s="25"/>
      <c r="Q7" s="26"/>
      <c r="R7" s="27" t="s">
        <v>225</v>
      </c>
      <c r="S7" s="28"/>
      <c r="T7" s="28"/>
      <c r="U7" s="29"/>
      <c r="V7" s="27" t="s">
        <v>234</v>
      </c>
      <c r="W7" s="28"/>
      <c r="X7" s="28"/>
      <c r="Y7" s="29"/>
      <c r="Z7" s="27" t="s">
        <v>236</v>
      </c>
      <c r="AA7" s="28"/>
      <c r="AB7" s="28"/>
      <c r="AC7" s="29"/>
      <c r="AD7" s="27" t="s">
        <v>250</v>
      </c>
      <c r="AE7" s="28"/>
      <c r="AF7" s="28"/>
      <c r="AG7" s="29"/>
      <c r="AI7" s="30" t="s">
        <v>256</v>
      </c>
      <c r="AJ7" s="31"/>
      <c r="AK7" s="31"/>
      <c r="AL7" s="32"/>
      <c r="AM7" s="30" t="s">
        <v>260</v>
      </c>
      <c r="AN7" s="31"/>
      <c r="AO7" s="31"/>
      <c r="AP7" s="32"/>
      <c r="AQ7" s="33" t="s">
        <v>674</v>
      </c>
      <c r="AR7" s="34"/>
      <c r="AS7" s="34"/>
      <c r="AT7" s="35"/>
    </row>
    <row r="8" ht="15.75" spans="1:47">
      <c r="A8" s="10" t="s">
        <v>594</v>
      </c>
      <c r="B8" s="11">
        <v>3</v>
      </c>
      <c r="C8" s="12" t="s">
        <v>595</v>
      </c>
      <c r="D8" s="12" t="s">
        <v>563</v>
      </c>
      <c r="E8" s="12" t="s">
        <v>563</v>
      </c>
      <c r="F8" s="172" t="s">
        <v>596</v>
      </c>
      <c r="G8" s="12" t="s">
        <v>565</v>
      </c>
      <c r="H8" s="12" t="str">
        <f>'Malla base'!H8</f>
        <v>-</v>
      </c>
      <c r="I8" s="12" t="s">
        <v>597</v>
      </c>
      <c r="J8" s="174" t="s">
        <v>598</v>
      </c>
      <c r="K8" s="12" t="s">
        <v>565</v>
      </c>
      <c r="L8" s="16" t="str">
        <f>'Malla base'!L8</f>
        <v>Eb</v>
      </c>
      <c r="M8" s="13" t="s">
        <v>596</v>
      </c>
      <c r="N8" s="15" t="s">
        <v>599</v>
      </c>
      <c r="O8" s="13" t="s">
        <v>595</v>
      </c>
      <c r="P8" s="16" t="str">
        <f>'Malla base'!P8</f>
        <v>Eb</v>
      </c>
      <c r="Q8" s="13" t="s">
        <v>600</v>
      </c>
      <c r="R8" s="15" t="s">
        <v>601</v>
      </c>
      <c r="S8" s="13" t="s">
        <v>565</v>
      </c>
      <c r="T8" s="13"/>
      <c r="U8" s="13" t="s">
        <v>616</v>
      </c>
      <c r="V8" s="15" t="s">
        <v>602</v>
      </c>
      <c r="W8" s="13" t="s">
        <v>565</v>
      </c>
      <c r="X8" s="13"/>
      <c r="Y8" s="13" t="s">
        <v>629</v>
      </c>
      <c r="Z8" s="15" t="s">
        <v>603</v>
      </c>
      <c r="AA8" s="13" t="s">
        <v>565</v>
      </c>
      <c r="AB8" s="13"/>
      <c r="AC8" s="13" t="s">
        <v>601</v>
      </c>
      <c r="AD8" s="15" t="s">
        <v>604</v>
      </c>
      <c r="AE8" s="13" t="s">
        <v>565</v>
      </c>
      <c r="AF8" s="266" t="s">
        <v>156</v>
      </c>
      <c r="AG8" s="13" t="s">
        <v>603</v>
      </c>
      <c r="AH8" s="18"/>
      <c r="AI8" s="15" t="s">
        <v>605</v>
      </c>
      <c r="AJ8" s="13" t="s">
        <v>565</v>
      </c>
      <c r="AK8" s="13" t="s">
        <v>114</v>
      </c>
      <c r="AL8" s="13" t="s">
        <v>590</v>
      </c>
      <c r="AM8" s="15" t="s">
        <v>606</v>
      </c>
      <c r="AN8" s="13" t="s">
        <v>607</v>
      </c>
      <c r="AO8" s="13" t="s">
        <v>186</v>
      </c>
      <c r="AP8" s="13" t="s">
        <v>608</v>
      </c>
      <c r="AQ8" s="15" t="s">
        <v>609</v>
      </c>
      <c r="AR8" s="13" t="s">
        <v>610</v>
      </c>
      <c r="AS8" s="13" t="s">
        <v>611</v>
      </c>
      <c r="AT8" s="13" t="s">
        <v>606</v>
      </c>
      <c r="AU8" s="18"/>
    </row>
    <row r="9" s="1" customFormat="1" ht="46.5" customHeight="1" spans="1:47">
      <c r="A9" s="20"/>
      <c r="B9" s="21" t="s">
        <v>56</v>
      </c>
      <c r="C9" s="22"/>
      <c r="D9" s="22"/>
      <c r="E9" s="23"/>
      <c r="F9" s="21" t="s">
        <v>74</v>
      </c>
      <c r="G9" s="22"/>
      <c r="H9" s="22"/>
      <c r="I9" s="23"/>
      <c r="J9" s="21" t="s">
        <v>89</v>
      </c>
      <c r="K9" s="22"/>
      <c r="L9" s="22"/>
      <c r="M9" s="23"/>
      <c r="N9" s="24" t="s">
        <v>107</v>
      </c>
      <c r="O9" s="25"/>
      <c r="P9" s="25"/>
      <c r="Q9" s="26"/>
      <c r="R9" s="27" t="s">
        <v>222</v>
      </c>
      <c r="S9" s="28"/>
      <c r="T9" s="28"/>
      <c r="U9" s="29"/>
      <c r="V9" s="27" t="s">
        <v>229</v>
      </c>
      <c r="W9" s="28"/>
      <c r="X9" s="28"/>
      <c r="Y9" s="29"/>
      <c r="Z9" s="27" t="s">
        <v>239</v>
      </c>
      <c r="AA9" s="28"/>
      <c r="AB9" s="28"/>
      <c r="AC9" s="29"/>
      <c r="AD9" s="27" t="s">
        <v>247</v>
      </c>
      <c r="AE9" s="28"/>
      <c r="AF9" s="28"/>
      <c r="AG9" s="29"/>
      <c r="AI9" s="30" t="s">
        <v>254</v>
      </c>
      <c r="AJ9" s="31"/>
      <c r="AK9" s="31"/>
      <c r="AL9" s="32"/>
      <c r="AM9" s="36" t="s">
        <v>612</v>
      </c>
      <c r="AN9" s="37"/>
      <c r="AO9" s="37"/>
      <c r="AP9" s="38"/>
      <c r="AQ9" s="36" t="s">
        <v>613</v>
      </c>
      <c r="AR9" s="37"/>
      <c r="AS9" s="37"/>
      <c r="AT9" s="38"/>
      <c r="AU9" s="39"/>
    </row>
    <row r="10" ht="15.75" customHeight="1" spans="1:47">
      <c r="A10" s="10" t="s">
        <v>614</v>
      </c>
      <c r="B10" s="11" t="s">
        <v>607</v>
      </c>
      <c r="C10" s="12">
        <v>1</v>
      </c>
      <c r="D10" s="12" t="s">
        <v>563</v>
      </c>
      <c r="E10" s="12" t="s">
        <v>563</v>
      </c>
      <c r="F10" s="172" t="s">
        <v>615</v>
      </c>
      <c r="G10" s="12" t="s">
        <v>595</v>
      </c>
      <c r="H10" s="12" t="str">
        <f>'Malla base'!H10</f>
        <v>Ea</v>
      </c>
      <c r="I10" s="176" t="s">
        <v>607</v>
      </c>
      <c r="J10" s="174" t="s">
        <v>616</v>
      </c>
      <c r="K10" s="12" t="s">
        <v>595</v>
      </c>
      <c r="L10" s="16" t="str">
        <f>'Malla base'!L10</f>
        <v>Ia</v>
      </c>
      <c r="M10" s="13" t="s">
        <v>597</v>
      </c>
      <c r="N10" s="15" t="s">
        <v>617</v>
      </c>
      <c r="O10" s="13" t="s">
        <v>565</v>
      </c>
      <c r="P10" s="16" t="s">
        <v>563</v>
      </c>
      <c r="Q10" s="13" t="s">
        <v>618</v>
      </c>
      <c r="R10" s="15" t="s">
        <v>619</v>
      </c>
      <c r="S10" s="13" t="s">
        <v>565</v>
      </c>
      <c r="T10" s="13"/>
      <c r="U10" s="13"/>
      <c r="V10" s="15" t="s">
        <v>620</v>
      </c>
      <c r="W10" s="13" t="s">
        <v>565</v>
      </c>
      <c r="X10" s="266" t="s">
        <v>86</v>
      </c>
      <c r="Y10" s="13" t="s">
        <v>616</v>
      </c>
      <c r="Z10" s="15" t="s">
        <v>621</v>
      </c>
      <c r="AA10" s="13" t="s">
        <v>565</v>
      </c>
      <c r="AB10" s="13"/>
      <c r="AC10" s="13"/>
      <c r="AD10" s="15" t="s">
        <v>622</v>
      </c>
      <c r="AE10" s="13" t="s">
        <v>565</v>
      </c>
      <c r="AF10" s="13"/>
      <c r="AG10" s="14" t="s">
        <v>616</v>
      </c>
      <c r="AH10" s="18"/>
      <c r="AI10" s="15" t="s">
        <v>623</v>
      </c>
      <c r="AJ10" s="13" t="s">
        <v>565</v>
      </c>
      <c r="AK10" s="13"/>
      <c r="AL10" s="13"/>
      <c r="AM10" s="15" t="s">
        <v>624</v>
      </c>
      <c r="AN10" s="13" t="s">
        <v>565</v>
      </c>
      <c r="AO10" s="13"/>
      <c r="AP10" s="13"/>
      <c r="AU10" s="41"/>
    </row>
    <row r="11" s="1" customFormat="1" ht="46.5" customHeight="1" spans="1:47">
      <c r="A11" s="20"/>
      <c r="B11" s="42" t="s">
        <v>49</v>
      </c>
      <c r="C11" s="43"/>
      <c r="D11" s="43"/>
      <c r="E11" s="44"/>
      <c r="F11" s="21" t="s">
        <v>67</v>
      </c>
      <c r="G11" s="22"/>
      <c r="H11" s="22"/>
      <c r="I11" s="23"/>
      <c r="J11" s="24" t="s">
        <v>85</v>
      </c>
      <c r="K11" s="25"/>
      <c r="L11" s="25"/>
      <c r="M11" s="26"/>
      <c r="N11" s="24" t="s">
        <v>97</v>
      </c>
      <c r="O11" s="25"/>
      <c r="P11" s="25"/>
      <c r="Q11" s="26"/>
      <c r="R11" s="45" t="s">
        <v>625</v>
      </c>
      <c r="S11" s="46"/>
      <c r="T11" s="46"/>
      <c r="U11" s="47"/>
      <c r="V11" s="27" t="s">
        <v>231</v>
      </c>
      <c r="W11" s="28"/>
      <c r="X11" s="28"/>
      <c r="Y11" s="29"/>
      <c r="Z11" s="45" t="s">
        <v>625</v>
      </c>
      <c r="AA11" s="46"/>
      <c r="AB11" s="46"/>
      <c r="AC11" s="47"/>
      <c r="AD11" s="27" t="s">
        <v>252</v>
      </c>
      <c r="AE11" s="28"/>
      <c r="AF11" s="28"/>
      <c r="AG11" s="29"/>
      <c r="AI11" s="33" t="s">
        <v>674</v>
      </c>
      <c r="AJ11" s="34"/>
      <c r="AK11" s="34"/>
      <c r="AL11" s="35"/>
      <c r="AM11" s="33" t="s">
        <v>674</v>
      </c>
      <c r="AN11" s="34"/>
      <c r="AO11" s="34"/>
      <c r="AP11" s="35"/>
      <c r="AU11" s="39"/>
    </row>
    <row r="12" ht="15.75" spans="1:47">
      <c r="A12" s="10" t="s">
        <v>627</v>
      </c>
      <c r="B12" s="11" t="s">
        <v>595</v>
      </c>
      <c r="C12" s="12">
        <v>3</v>
      </c>
      <c r="D12" s="16"/>
      <c r="E12" s="12" t="s">
        <v>563</v>
      </c>
      <c r="F12"/>
      <c r="G12"/>
      <c r="H12"/>
      <c r="I12"/>
      <c r="N12" s="15" t="s">
        <v>628</v>
      </c>
      <c r="O12" s="13" t="s">
        <v>629</v>
      </c>
      <c r="P12" s="16"/>
      <c r="Q12" s="13" t="s">
        <v>652</v>
      </c>
      <c r="V12" s="15" t="s">
        <v>630</v>
      </c>
      <c r="W12" s="13" t="s">
        <v>565</v>
      </c>
      <c r="X12" s="13"/>
      <c r="Y12" s="13"/>
      <c r="Z12" s="15" t="s">
        <v>631</v>
      </c>
      <c r="AA12" s="13" t="s">
        <v>565</v>
      </c>
      <c r="AB12" s="13" t="s">
        <v>632</v>
      </c>
      <c r="AC12" s="17" t="s">
        <v>633</v>
      </c>
      <c r="AH12" s="18"/>
      <c r="AI12" s="15" t="s">
        <v>634</v>
      </c>
      <c r="AJ12" s="13" t="s">
        <v>565</v>
      </c>
      <c r="AK12" s="13"/>
      <c r="AL12" s="13"/>
      <c r="AM12" s="15" t="s">
        <v>635</v>
      </c>
      <c r="AN12" s="13" t="s">
        <v>565</v>
      </c>
      <c r="AO12" s="13"/>
      <c r="AP12" s="13"/>
      <c r="AR12" s="104"/>
      <c r="AU12" s="41"/>
    </row>
    <row r="13" s="1" customFormat="1" ht="56.45" customHeight="1" spans="1:47">
      <c r="A13" s="20"/>
      <c r="B13" s="48" t="s">
        <v>59</v>
      </c>
      <c r="C13" s="49"/>
      <c r="D13" s="49"/>
      <c r="E13" s="50"/>
      <c r="F13" s="51"/>
      <c r="G13" s="51"/>
      <c r="H13" s="51"/>
      <c r="I13" s="51"/>
      <c r="L13" s="52"/>
      <c r="N13" s="53" t="s">
        <v>101</v>
      </c>
      <c r="O13" s="54"/>
      <c r="P13" s="54"/>
      <c r="Q13" s="55"/>
      <c r="V13" s="45" t="s">
        <v>625</v>
      </c>
      <c r="W13" s="46"/>
      <c r="X13" s="46"/>
      <c r="Y13" s="47"/>
      <c r="Z13" s="56" t="s">
        <v>426</v>
      </c>
      <c r="AA13" s="57"/>
      <c r="AB13" s="57"/>
      <c r="AC13" s="58"/>
      <c r="AI13" s="33" t="s">
        <v>582</v>
      </c>
      <c r="AJ13" s="34"/>
      <c r="AK13" s="34"/>
      <c r="AL13" s="35"/>
      <c r="AM13" s="33" t="s">
        <v>582</v>
      </c>
      <c r="AN13" s="34"/>
      <c r="AO13" s="34"/>
      <c r="AP13" s="35"/>
      <c r="AU13" s="39"/>
    </row>
    <row r="14" customHeight="1" spans="1:47">
      <c r="A14" s="59" t="s">
        <v>636</v>
      </c>
      <c r="B14" s="11" t="s">
        <v>565</v>
      </c>
      <c r="C14" s="12">
        <v>3</v>
      </c>
      <c r="D14" s="12" t="s">
        <v>563</v>
      </c>
      <c r="E14" s="12" t="s">
        <v>563</v>
      </c>
      <c r="F14" s="172" t="s">
        <v>637</v>
      </c>
      <c r="G14" s="12" t="s">
        <v>629</v>
      </c>
      <c r="H14" s="12" t="s">
        <v>563</v>
      </c>
      <c r="I14" s="12" t="s">
        <v>565</v>
      </c>
      <c r="J14" s="174" t="s">
        <v>610</v>
      </c>
      <c r="K14" s="12" t="s">
        <v>629</v>
      </c>
      <c r="L14" s="16" t="s">
        <v>563</v>
      </c>
      <c r="M14" s="13" t="s">
        <v>637</v>
      </c>
      <c r="N14" s="15" t="s">
        <v>638</v>
      </c>
      <c r="O14" s="13" t="s">
        <v>607</v>
      </c>
      <c r="P14" s="16" t="s">
        <v>563</v>
      </c>
      <c r="Q14" s="13" t="s">
        <v>563</v>
      </c>
      <c r="R14" s="15" t="s">
        <v>639</v>
      </c>
      <c r="S14" s="13" t="s">
        <v>629</v>
      </c>
      <c r="T14" s="13" t="s">
        <v>563</v>
      </c>
      <c r="U14" s="13" t="s">
        <v>628</v>
      </c>
      <c r="V14" s="60"/>
      <c r="W14" s="60"/>
      <c r="X14" s="60"/>
      <c r="Y14" s="60"/>
      <c r="Z14" s="61"/>
      <c r="AA14" s="62"/>
      <c r="AB14" s="62"/>
      <c r="AC14" s="63"/>
      <c r="AD14" s="15" t="s">
        <v>640</v>
      </c>
      <c r="AE14" s="13" t="s">
        <v>629</v>
      </c>
      <c r="AF14" s="13" t="s">
        <v>563</v>
      </c>
      <c r="AG14" s="13" t="s">
        <v>563</v>
      </c>
      <c r="AI14" s="60"/>
      <c r="AJ14" s="60"/>
      <c r="AK14" s="60"/>
      <c r="AL14" s="60"/>
      <c r="AM14" s="15" t="s">
        <v>641</v>
      </c>
      <c r="AN14" s="13" t="s">
        <v>642</v>
      </c>
      <c r="AO14" s="13" t="s">
        <v>156</v>
      </c>
      <c r="AP14" s="13" t="s">
        <v>675</v>
      </c>
      <c r="AU14" s="60"/>
    </row>
    <row r="15" ht="46.5" customHeight="1" spans="1:47">
      <c r="A15" s="20"/>
      <c r="B15" s="64" t="s">
        <v>645</v>
      </c>
      <c r="C15" s="65"/>
      <c r="D15" s="65"/>
      <c r="E15" s="66"/>
      <c r="F15" s="67" t="s">
        <v>646</v>
      </c>
      <c r="G15" s="68"/>
      <c r="H15" s="68"/>
      <c r="I15" s="69"/>
      <c r="J15" s="53" t="s">
        <v>647</v>
      </c>
      <c r="K15" s="54"/>
      <c r="L15" s="54"/>
      <c r="M15" s="55"/>
      <c r="N15" s="53" t="s">
        <v>648</v>
      </c>
      <c r="O15" s="54"/>
      <c r="P15" s="54"/>
      <c r="Q15" s="55"/>
      <c r="R15" s="67" t="s">
        <v>320</v>
      </c>
      <c r="S15" s="68"/>
      <c r="T15" s="68"/>
      <c r="U15" s="69"/>
      <c r="V15" s="70"/>
      <c r="W15" s="70"/>
      <c r="X15" s="70"/>
      <c r="AD15" s="72" t="s">
        <v>649</v>
      </c>
      <c r="AE15" s="73"/>
      <c r="AF15" s="73"/>
      <c r="AG15" s="74"/>
      <c r="AM15" s="75" t="s">
        <v>650</v>
      </c>
      <c r="AN15" s="76"/>
      <c r="AO15" s="76"/>
      <c r="AP15" s="77"/>
    </row>
    <row r="16" ht="16.35" customHeight="1" spans="1:47">
      <c r="A16" s="10" t="s">
        <v>651</v>
      </c>
      <c r="B16" s="11" t="s">
        <v>652</v>
      </c>
      <c r="C16" s="12">
        <v>3</v>
      </c>
      <c r="D16" s="12" t="s">
        <v>563</v>
      </c>
      <c r="E16" s="12" t="s">
        <v>563</v>
      </c>
      <c r="F16" s="172" t="s">
        <v>653</v>
      </c>
      <c r="G16" s="12">
        <v>3</v>
      </c>
      <c r="H16" s="12" t="s">
        <v>563</v>
      </c>
      <c r="I16" s="12" t="s">
        <v>563</v>
      </c>
      <c r="J16" s="174" t="s">
        <v>654</v>
      </c>
      <c r="K16" s="12" t="s">
        <v>607</v>
      </c>
      <c r="L16" s="16" t="s">
        <v>563</v>
      </c>
      <c r="M16" s="13" t="s">
        <v>563</v>
      </c>
      <c r="N16" s="60"/>
      <c r="O16" s="60"/>
      <c r="P16" s="78"/>
      <c r="Q16" s="60"/>
      <c r="R16" s="15" t="s">
        <v>655</v>
      </c>
      <c r="S16" s="13" t="s">
        <v>607</v>
      </c>
      <c r="T16" s="13" t="s">
        <v>563</v>
      </c>
      <c r="U16" s="13" t="s">
        <v>563</v>
      </c>
      <c r="V16" s="60"/>
      <c r="W16" s="60"/>
      <c r="X16" s="60"/>
      <c r="Z16" s="60"/>
      <c r="AA16" s="60"/>
      <c r="AB16" s="60"/>
      <c r="AC16" s="60"/>
      <c r="AD16" s="60"/>
      <c r="AE16" s="60"/>
      <c r="AF16" s="60"/>
    </row>
    <row r="17" ht="46.5" customHeight="1" spans="1:47">
      <c r="A17" s="20"/>
      <c r="B17" s="67" t="s">
        <v>46</v>
      </c>
      <c r="C17" s="68"/>
      <c r="D17" s="68"/>
      <c r="E17" s="69"/>
      <c r="F17" s="79" t="s">
        <v>649</v>
      </c>
      <c r="G17" s="80"/>
      <c r="H17" s="80"/>
      <c r="I17" s="81"/>
      <c r="J17" s="53" t="s">
        <v>648</v>
      </c>
      <c r="K17" s="54"/>
      <c r="L17" s="54"/>
      <c r="M17" s="55"/>
      <c r="N17" s="70"/>
      <c r="O17" s="70"/>
      <c r="P17" s="82"/>
      <c r="Q17" s="70"/>
      <c r="R17" s="53" t="s">
        <v>648</v>
      </c>
      <c r="S17" s="54"/>
      <c r="T17" s="54"/>
      <c r="U17" s="55"/>
      <c r="V17" s="70"/>
      <c r="W17" s="70"/>
      <c r="X17" s="70"/>
      <c r="AC17" s="70"/>
      <c r="AD17" s="70"/>
      <c r="AE17" s="70"/>
      <c r="AF17" s="70"/>
      <c r="AI17" s="2" t="s">
        <v>656</v>
      </c>
    </row>
    <row r="18" ht="30.95" customHeight="1" spans="1:47">
      <c r="A18" s="83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78"/>
      <c r="M18" s="60"/>
      <c r="N18" s="60"/>
      <c r="O18" s="60"/>
      <c r="P18" s="78"/>
      <c r="Q18" s="60"/>
      <c r="R18" s="60"/>
      <c r="S18" s="60"/>
      <c r="T18" s="60"/>
      <c r="U18" s="60"/>
      <c r="V18" s="60"/>
      <c r="W18" s="60"/>
      <c r="X18" s="84" t="s">
        <v>657</v>
      </c>
      <c r="Y18" s="16" t="s">
        <v>637</v>
      </c>
      <c r="Z18" s="16" t="str">
        <f>'Malla base'!Z18</f>
        <v>Ic(Ea)</v>
      </c>
      <c r="AA18" s="85" t="s">
        <v>658</v>
      </c>
      <c r="AB18" s="3"/>
      <c r="AC18" s="3"/>
      <c r="AD18" s="3"/>
      <c r="AE18" s="3"/>
      <c r="AF18" s="3"/>
      <c r="AG18" s="3"/>
      <c r="AH18" s="3"/>
      <c r="AI18" s="87"/>
      <c r="AJ18" s="87"/>
      <c r="AK18" s="87"/>
      <c r="AL18" s="87"/>
      <c r="AM18" s="3"/>
      <c r="AN18" s="3"/>
      <c r="AO18" s="84">
        <v>59</v>
      </c>
      <c r="AP18" s="16" t="s">
        <v>637</v>
      </c>
      <c r="AQ18" s="16" t="str">
        <f>'Malla base'!AQ18</f>
        <v>Ic(Eb, Ob)</v>
      </c>
      <c r="AR18" s="85" t="s">
        <v>660</v>
      </c>
      <c r="AS18" s="3"/>
    </row>
    <row r="19" ht="38.1" customHeight="1" spans="1:47">
      <c r="A19" s="86"/>
      <c r="B19" s="86"/>
      <c r="C19" s="86"/>
      <c r="D19" s="86"/>
      <c r="E19" s="11" t="s">
        <v>549</v>
      </c>
      <c r="F19" s="13" t="s">
        <v>661</v>
      </c>
      <c r="G19" s="13"/>
      <c r="H19" s="17"/>
      <c r="I19" s="86"/>
      <c r="J19" s="86"/>
      <c r="K19" s="86"/>
      <c r="L19" s="87"/>
      <c r="M19" s="86"/>
      <c r="N19" s="86"/>
      <c r="O19" s="86"/>
      <c r="P19" s="87"/>
      <c r="Q19" s="86"/>
      <c r="R19" s="86"/>
      <c r="S19" s="86"/>
      <c r="T19" s="86"/>
      <c r="U19" s="86"/>
      <c r="V19" s="86"/>
      <c r="W19" s="86"/>
      <c r="X19" s="177" t="s">
        <v>447</v>
      </c>
      <c r="Y19" s="178"/>
      <c r="Z19" s="178"/>
      <c r="AA19" s="179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177" t="s">
        <v>463</v>
      </c>
      <c r="AP19" s="178"/>
      <c r="AQ19" s="178"/>
      <c r="AR19" s="179"/>
      <c r="AS19" s="87"/>
      <c r="AT19" s="86"/>
      <c r="AU19" s="86"/>
    </row>
    <row r="20" ht="38.1" customHeight="1" spans="1:47">
      <c r="A20" s="86"/>
      <c r="B20" s="86"/>
      <c r="C20" s="86"/>
      <c r="D20" s="86"/>
      <c r="E20" s="88" t="s">
        <v>662</v>
      </c>
      <c r="F20" s="89"/>
      <c r="G20" s="89"/>
      <c r="H20" s="90"/>
      <c r="I20" s="86"/>
      <c r="J20" s="86"/>
      <c r="K20" s="86"/>
      <c r="L20" s="87"/>
      <c r="M20" s="86"/>
      <c r="N20" s="86"/>
      <c r="O20" s="86"/>
      <c r="P20" s="87"/>
      <c r="Q20" s="86"/>
      <c r="R20" s="86"/>
      <c r="S20" s="86"/>
      <c r="T20" s="86"/>
      <c r="U20" s="86"/>
      <c r="V20" s="86"/>
      <c r="W20" s="86"/>
      <c r="X20" s="82"/>
      <c r="Y20" s="82"/>
      <c r="Z20" s="82"/>
      <c r="AA20" s="82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2"/>
      <c r="AP20" s="82"/>
      <c r="AQ20" s="82"/>
      <c r="AR20" s="82"/>
      <c r="AS20" s="87"/>
      <c r="AT20" s="86"/>
      <c r="AU20" s="86"/>
    </row>
    <row r="21" ht="38.1" customHeight="1" spans="1:47">
      <c r="A21" s="86"/>
      <c r="B21" s="86"/>
      <c r="C21" s="86"/>
      <c r="D21" s="86"/>
      <c r="E21" s="86"/>
      <c r="F21" s="86"/>
      <c r="G21" s="86"/>
      <c r="H21" s="86"/>
      <c r="I21" s="86"/>
      <c r="J21" s="86"/>
      <c r="K21" s="86"/>
      <c r="L21" s="87"/>
      <c r="M21" s="86"/>
      <c r="N21" s="86"/>
      <c r="O21" s="86"/>
      <c r="P21" s="87"/>
      <c r="Q21" s="86"/>
      <c r="R21" s="86"/>
      <c r="S21" s="86"/>
      <c r="T21" s="86"/>
      <c r="U21" s="86"/>
      <c r="V21" s="86"/>
      <c r="W21" s="86"/>
      <c r="X21" s="82"/>
      <c r="Y21" s="82"/>
      <c r="Z21" s="82"/>
      <c r="AA21" s="82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2"/>
      <c r="AP21" s="82"/>
      <c r="AQ21" s="82"/>
      <c r="AR21" s="82"/>
      <c r="AS21" s="87"/>
      <c r="AT21" s="86"/>
      <c r="AU21" s="86"/>
    </row>
    <row r="22" ht="15.75" spans="1:47">
      <c r="B22" s="15" t="s">
        <v>663</v>
      </c>
      <c r="C22" s="12" t="s">
        <v>664</v>
      </c>
      <c r="D22" s="12" t="s">
        <v>665</v>
      </c>
      <c r="E22" s="12" t="s">
        <v>666</v>
      </c>
    </row>
    <row r="23" ht="42" customHeight="1" spans="1:47">
      <c r="B23" s="180" t="s">
        <v>667</v>
      </c>
      <c r="C23" s="181"/>
      <c r="D23" s="181"/>
      <c r="E23" s="182"/>
    </row>
    <row r="24" spans="1:47">
      <c r="B24" s="162" t="s">
        <v>556</v>
      </c>
      <c r="C24" s="183"/>
      <c r="D24" s="183"/>
      <c r="E24" s="183"/>
      <c r="F24" s="183"/>
      <c r="G24" s="183"/>
      <c r="H24" s="183"/>
      <c r="I24" s="183"/>
      <c r="J24" s="162" t="s">
        <v>557</v>
      </c>
      <c r="K24" s="183"/>
      <c r="L24" s="183"/>
      <c r="M24" s="183"/>
      <c r="N24" s="183"/>
      <c r="O24" s="183"/>
      <c r="P24" s="183"/>
      <c r="Q24" s="183"/>
      <c r="R24" s="162" t="s">
        <v>558</v>
      </c>
      <c r="S24" s="183"/>
      <c r="T24" s="183"/>
      <c r="U24" s="183"/>
      <c r="V24" s="183"/>
      <c r="W24" s="183"/>
      <c r="X24" s="183"/>
      <c r="Y24" s="183"/>
      <c r="Z24" s="99" t="s">
        <v>559</v>
      </c>
      <c r="AA24" s="99"/>
      <c r="AB24" s="99"/>
      <c r="AC24" s="99"/>
      <c r="AD24" s="99"/>
      <c r="AE24" s="99"/>
      <c r="AF24" s="99"/>
      <c r="AG24" s="99"/>
      <c r="AI24" s="97" t="s">
        <v>560</v>
      </c>
      <c r="AJ24" s="184"/>
      <c r="AK24" s="184"/>
      <c r="AL24" s="184"/>
      <c r="AM24" s="184"/>
      <c r="AN24" s="184"/>
      <c r="AO24" s="184"/>
      <c r="AP24" s="184"/>
      <c r="AQ24" s="99" t="s">
        <v>561</v>
      </c>
      <c r="AR24" s="99"/>
      <c r="AS24" s="99"/>
      <c r="AT24" s="99"/>
    </row>
    <row r="25" ht="23.25" customHeight="1" spans="1:47">
      <c r="B25" s="185">
        <f>C4+C6+C8+C10+C12+C14+C16+G4+G6+G8+G10+G14+G16</f>
        <v>59</v>
      </c>
      <c r="C25" s="186"/>
      <c r="D25" s="186"/>
      <c r="E25" s="186"/>
      <c r="F25" s="186"/>
      <c r="G25" s="186"/>
      <c r="H25" s="186"/>
      <c r="I25" s="187"/>
      <c r="J25" s="188">
        <f>K4+K6+K8+K10+K14+K16+O4+O6+O8+O10+O14+O12</f>
        <v>60</v>
      </c>
      <c r="K25" s="186"/>
      <c r="L25" s="186"/>
      <c r="M25" s="186"/>
      <c r="N25" s="186"/>
      <c r="O25" s="186"/>
      <c r="P25" s="186"/>
      <c r="Q25" s="186"/>
      <c r="R25" s="189">
        <f>S4+S6+S8+S10+S14+S16+W4+W6+W8+W10+W12+Y18</f>
        <v>73</v>
      </c>
      <c r="S25" s="190"/>
      <c r="T25" s="190"/>
      <c r="U25" s="190"/>
      <c r="V25" s="190"/>
      <c r="W25" s="190"/>
      <c r="X25" s="190"/>
      <c r="Y25" s="190"/>
      <c r="Z25" s="98">
        <f>AA4+AA6+AA8+AA10+AA12+AA14+AE4+AE6+AE8+AE10+AE14</f>
        <v>60</v>
      </c>
      <c r="AA25" s="99"/>
      <c r="AB25" s="99"/>
      <c r="AC25" s="99"/>
      <c r="AD25" s="99"/>
      <c r="AE25" s="99"/>
      <c r="AF25" s="99"/>
      <c r="AG25" s="99"/>
      <c r="AI25" s="106">
        <f>AJ4+AJ6+AJ8+AJ10+AJ12+AN4+AN6+AN8+AN10+AN12+AN14+AP18</f>
        <v>72</v>
      </c>
      <c r="AJ25" s="183"/>
      <c r="AK25" s="183"/>
      <c r="AL25" s="183"/>
      <c r="AM25" s="183"/>
      <c r="AN25" s="183"/>
      <c r="AO25" s="183"/>
      <c r="AP25" s="183"/>
      <c r="AQ25" s="189">
        <f>AR4+AR6+AR8</f>
        <v>30</v>
      </c>
      <c r="AR25" s="190"/>
      <c r="AS25" s="190"/>
      <c r="AT25" s="191"/>
    </row>
  </sheetData>
  <mergeCells count="100">
    <mergeCell ref="B2:I2"/>
    <mergeCell ref="J2:Q2"/>
    <mergeCell ref="R2:Y2"/>
    <mergeCell ref="Z2:AG2"/>
    <mergeCell ref="AI2:AP2"/>
    <mergeCell ref="AQ2:AT2"/>
    <mergeCell ref="B3:E3"/>
    <mergeCell ref="F3:I3"/>
    <mergeCell ref="J3:M3"/>
    <mergeCell ref="N3:Q3"/>
    <mergeCell ref="R3:U3"/>
    <mergeCell ref="V3:Y3"/>
    <mergeCell ref="Z3:AC3"/>
    <mergeCell ref="AD3:AG3"/>
    <mergeCell ref="AI3:AL3"/>
    <mergeCell ref="AM3:AP3"/>
    <mergeCell ref="AQ3:AT3"/>
    <mergeCell ref="B5:E5"/>
    <mergeCell ref="F5:I5"/>
    <mergeCell ref="J5:M5"/>
    <mergeCell ref="N5:Q5"/>
    <mergeCell ref="R5:U5"/>
    <mergeCell ref="V5:Y5"/>
    <mergeCell ref="Z5:AC5"/>
    <mergeCell ref="AD5:AG5"/>
    <mergeCell ref="AI5:AL5"/>
    <mergeCell ref="AM5:AP5"/>
    <mergeCell ref="AQ5:AT5"/>
    <mergeCell ref="B7:E7"/>
    <mergeCell ref="F7:I7"/>
    <mergeCell ref="J7:M7"/>
    <mergeCell ref="N7:Q7"/>
    <mergeCell ref="R7:U7"/>
    <mergeCell ref="V7:Y7"/>
    <mergeCell ref="Z7:AC7"/>
    <mergeCell ref="AD7:AG7"/>
    <mergeCell ref="AI7:AL7"/>
    <mergeCell ref="AM7:AP7"/>
    <mergeCell ref="AQ7:AT7"/>
    <mergeCell ref="B9:E9"/>
    <mergeCell ref="F9:I9"/>
    <mergeCell ref="J9:M9"/>
    <mergeCell ref="N9:Q9"/>
    <mergeCell ref="R9:U9"/>
    <mergeCell ref="V9:Y9"/>
    <mergeCell ref="Z9:AC9"/>
    <mergeCell ref="AD9:AG9"/>
    <mergeCell ref="AI9:AL9"/>
    <mergeCell ref="AM9:AP9"/>
    <mergeCell ref="AQ9:AT9"/>
    <mergeCell ref="B11:E11"/>
    <mergeCell ref="F11:I11"/>
    <mergeCell ref="J11:M11"/>
    <mergeCell ref="N11:Q11"/>
    <mergeCell ref="R11:U11"/>
    <mergeCell ref="V11:Y11"/>
    <mergeCell ref="Z11:AC11"/>
    <mergeCell ref="AD11:AG11"/>
    <mergeCell ref="AI11:AL11"/>
    <mergeCell ref="AM11:AP11"/>
    <mergeCell ref="B13:E13"/>
    <mergeCell ref="N13:Q13"/>
    <mergeCell ref="V13:Y13"/>
    <mergeCell ref="Z13:AC13"/>
    <mergeCell ref="AI13:AL13"/>
    <mergeCell ref="AM13:AP13"/>
    <mergeCell ref="B15:E15"/>
    <mergeCell ref="F15:I15"/>
    <mergeCell ref="J15:M15"/>
    <mergeCell ref="N15:Q15"/>
    <mergeCell ref="R15:U15"/>
    <mergeCell ref="AD15:AG15"/>
    <mergeCell ref="AM15:AP15"/>
    <mergeCell ref="B17:E17"/>
    <mergeCell ref="F17:I17"/>
    <mergeCell ref="J17:M17"/>
    <mergeCell ref="R17:U17"/>
    <mergeCell ref="X19:AA19"/>
    <mergeCell ref="AO19:AR19"/>
    <mergeCell ref="E20:H20"/>
    <mergeCell ref="B23:E23"/>
    <mergeCell ref="B24:I24"/>
    <mergeCell ref="J24:Q24"/>
    <mergeCell ref="R24:Y24"/>
    <mergeCell ref="Z24:AG24"/>
    <mergeCell ref="AI24:AP24"/>
    <mergeCell ref="AQ24:AT24"/>
    <mergeCell ref="B25:I25"/>
    <mergeCell ref="J25:Q25"/>
    <mergeCell ref="R25:Y25"/>
    <mergeCell ref="Z25:AG25"/>
    <mergeCell ref="AI25:AP25"/>
    <mergeCell ref="AQ25:AT25"/>
    <mergeCell ref="A4:A5"/>
    <mergeCell ref="A6:A7"/>
    <mergeCell ref="A8:A9"/>
    <mergeCell ref="A10:A11"/>
    <mergeCell ref="A12:A13"/>
    <mergeCell ref="A14:A15"/>
    <mergeCell ref="A16:A17"/>
  </mergeCells>
  <pageMargins left="0.75" right="0.75" top="1" bottom="1" header="0.5" footer="0.5"/>
  <pageSetup paperSize="1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W38"/>
  <sheetViews>
    <sheetView zoomScalePageLayoutView="125" topLeftCell="A18" workbookViewId="0">
      <selection activeCell="M13" sqref="M13"/>
    </sheetView>
  </sheetViews>
  <sheetFormatPr defaultColWidth="10.5714285714286" defaultRowHeight="12.75"/>
  <cols>
    <col min="1" max="1" width="4.42857142857143" style="109" customWidth="1"/>
    <col min="2" max="2" width="2.57142857142857" style="110" customWidth="1"/>
    <col min="3" max="3" width="2.42857142857143" style="110" customWidth="1"/>
    <col min="4" max="4" width="6.85714285714286" style="110" customWidth="1"/>
    <col min="5" max="5" width="2.57142857142857" style="110" customWidth="1"/>
    <col min="6" max="6" width="2.42857142857143" style="110" customWidth="1"/>
    <col min="7" max="7" width="7.85714285714286" style="110" customWidth="1"/>
    <col min="8" max="8" width="2.57142857142857" style="110" customWidth="1"/>
    <col min="9" max="9" width="2.42857142857143" style="110" customWidth="1"/>
    <col min="10" max="10" width="7.14285714285714" style="110" customWidth="1"/>
    <col min="11" max="11" width="2.57142857142857" style="110" customWidth="1"/>
    <col min="12" max="12" width="2.42857142857143" style="110" customWidth="1"/>
    <col min="13" max="13" width="9.14285714285714" style="110" customWidth="1"/>
    <col min="14" max="14" width="2.57142857142857" style="110" customWidth="1"/>
    <col min="15" max="15" width="2.42857142857143" style="110" customWidth="1"/>
    <col min="16" max="16" width="6.85714285714286" style="110" customWidth="1"/>
    <col min="17" max="17" width="3.42857142857143" style="110" customWidth="1"/>
    <col min="18" max="18" width="2.57142857142857" style="110" customWidth="1"/>
    <col min="19" max="19" width="6.42857142857143" style="110" customWidth="1"/>
    <col min="20" max="20" width="5.57142857142857" style="110" customWidth="1"/>
    <col min="21" max="21" width="4.14285714285714" style="110" customWidth="1"/>
    <col min="22" max="22" width="3.42857142857143" style="110" customWidth="1"/>
    <col min="23" max="23" width="5.57142857142857" style="110" customWidth="1"/>
    <col min="24" max="26" width="10.5714285714286" style="110"/>
    <col min="27" max="27" width="40.5714285714286" style="110" customWidth="1"/>
    <col min="28" max="16384" width="10.5714285714286" style="110"/>
  </cols>
  <sheetData>
    <row r="3" spans="1:23">
      <c r="A3" s="111" t="s">
        <v>676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</row>
    <row r="4" ht="13.5" spans="1:23"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</row>
    <row r="5" ht="13.5" spans="1:23">
      <c r="A5" s="112" t="s">
        <v>677</v>
      </c>
      <c r="B5" s="113" t="s">
        <v>576</v>
      </c>
      <c r="C5" s="114" t="s">
        <v>565</v>
      </c>
      <c r="D5" s="114" t="s">
        <v>620</v>
      </c>
      <c r="E5" s="113" t="s">
        <v>591</v>
      </c>
      <c r="F5" s="114" t="s">
        <v>565</v>
      </c>
      <c r="G5" s="114" t="s">
        <v>589</v>
      </c>
      <c r="H5" s="113" t="s">
        <v>605</v>
      </c>
      <c r="I5" s="114" t="s">
        <v>565</v>
      </c>
      <c r="J5" s="114" t="s">
        <v>590</v>
      </c>
      <c r="K5" s="113" t="s">
        <v>623</v>
      </c>
      <c r="L5" s="114" t="s">
        <v>565</v>
      </c>
      <c r="M5" s="114" t="s">
        <v>589</v>
      </c>
      <c r="N5" s="113" t="s">
        <v>634</v>
      </c>
      <c r="O5" s="114" t="s">
        <v>565</v>
      </c>
      <c r="P5" s="114"/>
      <c r="Q5" s="115"/>
      <c r="R5" s="115"/>
      <c r="S5" s="115"/>
      <c r="T5" s="115"/>
      <c r="U5" s="115"/>
      <c r="V5" s="115"/>
      <c r="W5" s="115"/>
    </row>
    <row r="6" ht="37.35" customHeight="1" spans="1:23">
      <c r="A6" s="116">
        <v>1</v>
      </c>
      <c r="B6" s="117" t="s">
        <v>259</v>
      </c>
      <c r="C6" s="118"/>
      <c r="D6" s="119"/>
      <c r="E6" s="117" t="s">
        <v>256</v>
      </c>
      <c r="F6" s="118"/>
      <c r="G6" s="119"/>
      <c r="H6" s="117" t="s">
        <v>254</v>
      </c>
      <c r="I6" s="118"/>
      <c r="J6" s="119"/>
      <c r="K6" s="123" t="s">
        <v>304</v>
      </c>
      <c r="L6" s="124"/>
      <c r="M6" s="125"/>
      <c r="N6" s="123" t="s">
        <v>582</v>
      </c>
      <c r="O6" s="124"/>
      <c r="P6" s="125"/>
      <c r="Q6" s="126"/>
      <c r="R6" s="126"/>
      <c r="S6" s="126"/>
      <c r="T6" s="126"/>
    </row>
    <row r="7" ht="13.5"/>
    <row r="8" ht="13.5" spans="1:23">
      <c r="B8" s="113" t="s">
        <v>577</v>
      </c>
      <c r="C8" s="114" t="s">
        <v>565</v>
      </c>
      <c r="D8" s="114" t="s">
        <v>574</v>
      </c>
      <c r="E8" s="113" t="s">
        <v>592</v>
      </c>
      <c r="F8" s="114" t="s">
        <v>565</v>
      </c>
      <c r="G8" s="114" t="s">
        <v>574</v>
      </c>
      <c r="H8" s="113" t="s">
        <v>606</v>
      </c>
      <c r="I8" s="114" t="s">
        <v>607</v>
      </c>
      <c r="J8" s="114" t="s">
        <v>608</v>
      </c>
      <c r="K8" s="113" t="s">
        <v>624</v>
      </c>
      <c r="L8" s="114" t="s">
        <v>565</v>
      </c>
      <c r="M8" s="114" t="s">
        <v>590</v>
      </c>
      <c r="N8" s="113" t="s">
        <v>635</v>
      </c>
      <c r="O8" s="114" t="s">
        <v>565</v>
      </c>
      <c r="P8" s="114"/>
      <c r="Q8" s="127" t="s">
        <v>641</v>
      </c>
      <c r="R8" s="114">
        <v>2</v>
      </c>
      <c r="S8" s="128" t="s">
        <v>675</v>
      </c>
      <c r="T8" s="115"/>
      <c r="U8" s="115"/>
      <c r="V8" s="115"/>
      <c r="W8" s="115"/>
    </row>
    <row r="9" ht="23.1" customHeight="1" spans="1:23">
      <c r="A9" s="129">
        <v>2</v>
      </c>
      <c r="B9" s="130" t="s">
        <v>263</v>
      </c>
      <c r="C9" s="131"/>
      <c r="D9" s="132"/>
      <c r="E9" s="130" t="s">
        <v>260</v>
      </c>
      <c r="F9" s="131"/>
      <c r="G9" s="132"/>
      <c r="H9" s="133" t="s">
        <v>678</v>
      </c>
      <c r="I9" s="134"/>
      <c r="J9" s="135"/>
      <c r="K9" s="136" t="s">
        <v>277</v>
      </c>
      <c r="L9" s="137"/>
      <c r="M9" s="138"/>
      <c r="N9" s="166" t="s">
        <v>582</v>
      </c>
      <c r="O9" s="167"/>
      <c r="P9" s="168"/>
      <c r="Q9" s="139" t="s">
        <v>650</v>
      </c>
      <c r="R9" s="140"/>
      <c r="S9" s="141"/>
    </row>
    <row r="10" ht="25.35" customHeight="1" spans="1:23">
      <c r="A10" s="142"/>
      <c r="B10" s="143"/>
      <c r="C10" s="144"/>
      <c r="D10" s="145"/>
      <c r="E10" s="143"/>
      <c r="F10" s="144"/>
      <c r="G10" s="145"/>
      <c r="H10" s="146"/>
      <c r="I10" s="147"/>
      <c r="J10" s="148"/>
      <c r="K10" s="149"/>
      <c r="L10" s="150"/>
      <c r="M10" s="151"/>
      <c r="N10" s="169"/>
      <c r="O10" s="170"/>
      <c r="P10" s="171"/>
      <c r="Q10" s="152"/>
      <c r="R10" s="153"/>
      <c r="S10" s="154"/>
      <c r="U10" s="127" t="s">
        <v>679</v>
      </c>
      <c r="V10" s="155">
        <v>12</v>
      </c>
      <c r="W10" s="128" t="s">
        <v>660</v>
      </c>
    </row>
    <row r="11" ht="16.35" customHeight="1" spans="1:23">
      <c r="U11" s="139" t="s">
        <v>463</v>
      </c>
      <c r="V11" s="140"/>
      <c r="W11" s="141"/>
    </row>
    <row r="12" ht="13.5" spans="1:23">
      <c r="B12" s="113" t="s">
        <v>578</v>
      </c>
      <c r="C12" s="114" t="s">
        <v>565</v>
      </c>
      <c r="D12" s="114"/>
      <c r="E12" s="113" t="s">
        <v>593</v>
      </c>
      <c r="F12" s="114" t="s">
        <v>565</v>
      </c>
      <c r="G12" s="114" t="s">
        <v>605</v>
      </c>
      <c r="H12" s="113" t="s">
        <v>609</v>
      </c>
      <c r="I12" s="114" t="s">
        <v>610</v>
      </c>
      <c r="J12" s="114" t="s">
        <v>606</v>
      </c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52"/>
      <c r="V12" s="153"/>
      <c r="W12" s="154"/>
    </row>
    <row r="13" ht="47.1" customHeight="1" spans="1:23">
      <c r="A13" s="116">
        <v>3</v>
      </c>
      <c r="B13" s="123" t="s">
        <v>582</v>
      </c>
      <c r="C13" s="124"/>
      <c r="D13" s="125"/>
      <c r="E13" s="123" t="s">
        <v>291</v>
      </c>
      <c r="F13" s="124"/>
      <c r="G13" s="125"/>
      <c r="H13" s="156" t="s">
        <v>680</v>
      </c>
      <c r="I13" s="157"/>
      <c r="J13" s="158"/>
      <c r="Q13" s="126"/>
      <c r="R13" s="126"/>
      <c r="S13" s="126"/>
      <c r="T13" s="126"/>
    </row>
    <row r="15" spans="1:23">
      <c r="A15" s="111" t="s">
        <v>681</v>
      </c>
      <c r="B15" s="111"/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</row>
    <row r="16" ht="13.5" spans="1:23">
      <c r="B16" s="109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</row>
    <row r="17" ht="13.5" spans="1:23">
      <c r="A17" s="112" t="s">
        <v>677</v>
      </c>
      <c r="B17" s="113" t="s">
        <v>576</v>
      </c>
      <c r="C17" s="114" t="s">
        <v>565</v>
      </c>
      <c r="D17" s="114" t="s">
        <v>620</v>
      </c>
      <c r="E17" s="113" t="s">
        <v>591</v>
      </c>
      <c r="F17" s="114" t="s">
        <v>565</v>
      </c>
      <c r="G17" s="114" t="s">
        <v>589</v>
      </c>
      <c r="H17" s="113" t="s">
        <v>605</v>
      </c>
      <c r="I17" s="114" t="s">
        <v>565</v>
      </c>
      <c r="J17" s="114" t="s">
        <v>590</v>
      </c>
      <c r="K17" s="113" t="s">
        <v>623</v>
      </c>
      <c r="L17" s="114" t="s">
        <v>565</v>
      </c>
      <c r="M17" s="114" t="s">
        <v>603</v>
      </c>
      <c r="N17" s="113" t="s">
        <v>634</v>
      </c>
      <c r="O17" s="114" t="s">
        <v>565</v>
      </c>
      <c r="P17" s="114"/>
      <c r="Q17" s="115"/>
      <c r="R17" s="115"/>
      <c r="S17" s="115"/>
      <c r="T17" s="115"/>
      <c r="U17" s="115"/>
      <c r="V17" s="115"/>
      <c r="W17" s="115"/>
    </row>
    <row r="18" ht="37.35" customHeight="1" spans="1:23">
      <c r="A18" s="116">
        <v>1</v>
      </c>
      <c r="B18" s="117" t="s">
        <v>259</v>
      </c>
      <c r="C18" s="118"/>
      <c r="D18" s="119"/>
      <c r="E18" s="117" t="s">
        <v>256</v>
      </c>
      <c r="F18" s="118"/>
      <c r="G18" s="119"/>
      <c r="H18" s="117" t="s">
        <v>254</v>
      </c>
      <c r="I18" s="118"/>
      <c r="J18" s="119"/>
      <c r="K18" s="123" t="s">
        <v>300</v>
      </c>
      <c r="L18" s="124"/>
      <c r="M18" s="125"/>
      <c r="N18" s="123" t="s">
        <v>582</v>
      </c>
      <c r="O18" s="124"/>
      <c r="P18" s="125"/>
      <c r="Q18" s="126"/>
      <c r="R18" s="126"/>
      <c r="S18" s="126"/>
      <c r="T18" s="126"/>
    </row>
    <row r="19" ht="13.5"/>
    <row r="20" ht="13.5" spans="1:23">
      <c r="B20" s="113" t="s">
        <v>577</v>
      </c>
      <c r="C20" s="114" t="s">
        <v>565</v>
      </c>
      <c r="D20" s="114" t="s">
        <v>574</v>
      </c>
      <c r="E20" s="113" t="s">
        <v>592</v>
      </c>
      <c r="F20" s="114" t="s">
        <v>565</v>
      </c>
      <c r="G20" s="114" t="s">
        <v>574</v>
      </c>
      <c r="H20" s="113" t="s">
        <v>606</v>
      </c>
      <c r="I20" s="114" t="s">
        <v>607</v>
      </c>
      <c r="J20" s="114" t="s">
        <v>608</v>
      </c>
      <c r="K20" s="113" t="s">
        <v>624</v>
      </c>
      <c r="L20" s="114" t="s">
        <v>565</v>
      </c>
      <c r="M20" s="114" t="s">
        <v>604</v>
      </c>
      <c r="N20" s="113" t="s">
        <v>635</v>
      </c>
      <c r="O20" s="114" t="s">
        <v>565</v>
      </c>
      <c r="P20" s="114"/>
      <c r="Q20" s="127" t="s">
        <v>641</v>
      </c>
      <c r="R20" s="114">
        <v>2</v>
      </c>
      <c r="S20" s="128" t="s">
        <v>675</v>
      </c>
      <c r="T20" s="115"/>
      <c r="U20" s="115"/>
      <c r="V20" s="115"/>
      <c r="W20" s="115"/>
    </row>
    <row r="21" ht="23.1" customHeight="1" spans="1:23">
      <c r="A21" s="129">
        <v>2</v>
      </c>
      <c r="B21" s="130" t="s">
        <v>263</v>
      </c>
      <c r="C21" s="131"/>
      <c r="D21" s="132"/>
      <c r="E21" s="130" t="s">
        <v>260</v>
      </c>
      <c r="F21" s="131"/>
      <c r="G21" s="132"/>
      <c r="H21" s="133" t="s">
        <v>678</v>
      </c>
      <c r="I21" s="134"/>
      <c r="J21" s="135"/>
      <c r="K21" s="136" t="s">
        <v>273</v>
      </c>
      <c r="L21" s="137"/>
      <c r="M21" s="138"/>
      <c r="N21" s="136" t="s">
        <v>682</v>
      </c>
      <c r="O21" s="137"/>
      <c r="P21" s="138"/>
      <c r="Q21" s="139" t="s">
        <v>650</v>
      </c>
      <c r="R21" s="140"/>
      <c r="S21" s="141"/>
    </row>
    <row r="22" ht="28.5" customHeight="1" spans="1:23">
      <c r="A22" s="142"/>
      <c r="B22" s="143"/>
      <c r="C22" s="144"/>
      <c r="D22" s="145"/>
      <c r="E22" s="143"/>
      <c r="F22" s="144"/>
      <c r="G22" s="145"/>
      <c r="H22" s="146"/>
      <c r="I22" s="147"/>
      <c r="J22" s="148"/>
      <c r="K22" s="149"/>
      <c r="L22" s="150"/>
      <c r="M22" s="151"/>
      <c r="N22" s="149"/>
      <c r="O22" s="150"/>
      <c r="P22" s="151"/>
      <c r="Q22" s="152"/>
      <c r="R22" s="153"/>
      <c r="S22" s="154"/>
      <c r="U22" s="127" t="s">
        <v>679</v>
      </c>
      <c r="V22" s="155">
        <v>12</v>
      </c>
      <c r="W22" s="128" t="s">
        <v>660</v>
      </c>
    </row>
    <row r="23" ht="16.35" customHeight="1" spans="1:23">
      <c r="U23" s="139" t="s">
        <v>463</v>
      </c>
      <c r="V23" s="140"/>
      <c r="W23" s="141"/>
    </row>
    <row r="24" ht="13.5" spans="1:23">
      <c r="B24" s="113" t="s">
        <v>578</v>
      </c>
      <c r="C24" s="114" t="s">
        <v>565</v>
      </c>
      <c r="D24" s="114"/>
      <c r="E24" s="113" t="s">
        <v>593</v>
      </c>
      <c r="F24" s="114" t="s">
        <v>565</v>
      </c>
      <c r="G24" s="114" t="s">
        <v>604</v>
      </c>
      <c r="H24" s="113" t="s">
        <v>609</v>
      </c>
      <c r="I24" s="114" t="s">
        <v>610</v>
      </c>
      <c r="J24" s="114" t="s">
        <v>606</v>
      </c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52"/>
      <c r="V24" s="153"/>
      <c r="W24" s="154"/>
    </row>
    <row r="25" ht="37.35" customHeight="1" spans="1:23">
      <c r="A25" s="116">
        <v>3</v>
      </c>
      <c r="B25" s="123" t="s">
        <v>582</v>
      </c>
      <c r="C25" s="124"/>
      <c r="D25" s="125"/>
      <c r="E25" s="123" t="s">
        <v>683</v>
      </c>
      <c r="F25" s="124"/>
      <c r="G25" s="125"/>
      <c r="H25" s="156" t="s">
        <v>680</v>
      </c>
      <c r="I25" s="157"/>
      <c r="J25" s="158"/>
      <c r="Q25" s="126"/>
      <c r="R25" s="126"/>
      <c r="S25" s="126"/>
      <c r="T25" s="126"/>
    </row>
    <row r="28" spans="1:23">
      <c r="A28" s="111" t="s">
        <v>684</v>
      </c>
      <c r="B28" s="111"/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</row>
    <row r="29" ht="13.5" spans="1:23"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</row>
    <row r="30" ht="13.5" spans="1:23">
      <c r="A30" s="112" t="s">
        <v>677</v>
      </c>
      <c r="B30" s="113" t="s">
        <v>576</v>
      </c>
      <c r="C30" s="114" t="s">
        <v>565</v>
      </c>
      <c r="D30" s="114" t="s">
        <v>620</v>
      </c>
      <c r="E30" s="113" t="s">
        <v>591</v>
      </c>
      <c r="F30" s="114" t="s">
        <v>565</v>
      </c>
      <c r="G30" s="114" t="s">
        <v>589</v>
      </c>
      <c r="H30" s="113" t="s">
        <v>605</v>
      </c>
      <c r="I30" s="114" t="s">
        <v>565</v>
      </c>
      <c r="J30" s="114" t="s">
        <v>590</v>
      </c>
      <c r="K30" s="113" t="s">
        <v>623</v>
      </c>
      <c r="L30" s="114" t="s">
        <v>565</v>
      </c>
      <c r="M30" s="114" t="s">
        <v>685</v>
      </c>
      <c r="N30" s="113" t="s">
        <v>634</v>
      </c>
      <c r="O30" s="114" t="s">
        <v>565</v>
      </c>
      <c r="P30" s="114"/>
      <c r="Q30" s="115"/>
      <c r="R30" s="115"/>
      <c r="S30" s="115"/>
      <c r="T30" s="115"/>
      <c r="U30" s="115"/>
      <c r="V30" s="115"/>
      <c r="W30" s="115"/>
    </row>
    <row r="31" ht="34.7" customHeight="1" spans="1:23">
      <c r="A31" s="116">
        <v>1</v>
      </c>
      <c r="B31" s="117" t="s">
        <v>259</v>
      </c>
      <c r="C31" s="118"/>
      <c r="D31" s="119"/>
      <c r="E31" s="117" t="s">
        <v>256</v>
      </c>
      <c r="F31" s="118"/>
      <c r="G31" s="119"/>
      <c r="H31" s="117" t="s">
        <v>254</v>
      </c>
      <c r="I31" s="118"/>
      <c r="J31" s="119"/>
      <c r="K31" s="123" t="s">
        <v>295</v>
      </c>
      <c r="L31" s="124"/>
      <c r="M31" s="125"/>
      <c r="N31" s="123" t="s">
        <v>582</v>
      </c>
      <c r="O31" s="124"/>
      <c r="P31" s="125"/>
      <c r="Q31" s="126"/>
      <c r="R31" s="126"/>
      <c r="S31" s="126"/>
      <c r="T31" s="126"/>
    </row>
    <row r="32" ht="13.5"/>
    <row r="33" ht="13.5" spans="1:23">
      <c r="B33" s="113" t="s">
        <v>577</v>
      </c>
      <c r="C33" s="114" t="s">
        <v>565</v>
      </c>
      <c r="D33" s="114" t="s">
        <v>574</v>
      </c>
      <c r="E33" s="113" t="s">
        <v>592</v>
      </c>
      <c r="F33" s="114" t="s">
        <v>565</v>
      </c>
      <c r="G33" s="114" t="s">
        <v>574</v>
      </c>
      <c r="H33" s="113" t="s">
        <v>606</v>
      </c>
      <c r="I33" s="114" t="s">
        <v>607</v>
      </c>
      <c r="J33" s="114" t="s">
        <v>608</v>
      </c>
      <c r="K33" s="113" t="s">
        <v>624</v>
      </c>
      <c r="L33" s="114" t="s">
        <v>565</v>
      </c>
      <c r="M33" s="114" t="s">
        <v>686</v>
      </c>
      <c r="N33" s="113" t="s">
        <v>635</v>
      </c>
      <c r="O33" s="114" t="s">
        <v>565</v>
      </c>
      <c r="P33" s="114"/>
      <c r="Q33" s="127" t="s">
        <v>641</v>
      </c>
      <c r="R33" s="114">
        <v>2</v>
      </c>
      <c r="S33" s="128" t="s">
        <v>675</v>
      </c>
      <c r="T33" s="115"/>
      <c r="U33" s="115"/>
      <c r="V33" s="115"/>
      <c r="W33" s="115"/>
    </row>
    <row r="34" ht="13.7" customHeight="1" spans="1:23">
      <c r="A34" s="129">
        <v>2</v>
      </c>
      <c r="B34" s="130" t="s">
        <v>263</v>
      </c>
      <c r="C34" s="131"/>
      <c r="D34" s="132"/>
      <c r="E34" s="130" t="s">
        <v>260</v>
      </c>
      <c r="F34" s="131"/>
      <c r="G34" s="132"/>
      <c r="H34" s="133" t="s">
        <v>678</v>
      </c>
      <c r="I34" s="134"/>
      <c r="J34" s="135"/>
      <c r="K34" s="136" t="s">
        <v>267</v>
      </c>
      <c r="L34" s="137"/>
      <c r="M34" s="138"/>
      <c r="N34" s="136" t="s">
        <v>682</v>
      </c>
      <c r="O34" s="137"/>
      <c r="P34" s="138"/>
      <c r="Q34" s="139" t="s">
        <v>650</v>
      </c>
      <c r="R34" s="140"/>
      <c r="S34" s="141"/>
    </row>
    <row r="35" ht="35.45" customHeight="1" spans="1:23">
      <c r="A35" s="142"/>
      <c r="B35" s="143"/>
      <c r="C35" s="144"/>
      <c r="D35" s="145"/>
      <c r="E35" s="143"/>
      <c r="F35" s="144"/>
      <c r="G35" s="145"/>
      <c r="H35" s="146"/>
      <c r="I35" s="147"/>
      <c r="J35" s="148"/>
      <c r="K35" s="149"/>
      <c r="L35" s="150"/>
      <c r="M35" s="151"/>
      <c r="N35" s="149"/>
      <c r="O35" s="150"/>
      <c r="P35" s="151"/>
      <c r="Q35" s="152"/>
      <c r="R35" s="153"/>
      <c r="S35" s="154"/>
      <c r="U35" s="127" t="s">
        <v>679</v>
      </c>
      <c r="V35" s="155">
        <v>12</v>
      </c>
      <c r="W35" s="128" t="s">
        <v>660</v>
      </c>
    </row>
    <row r="36" ht="13.5" spans="1:23">
      <c r="U36" s="139" t="s">
        <v>463</v>
      </c>
      <c r="V36" s="140"/>
      <c r="W36" s="141"/>
    </row>
    <row r="37" ht="13.5" spans="1:23">
      <c r="B37" s="113" t="s">
        <v>578</v>
      </c>
      <c r="C37" s="114" t="s">
        <v>565</v>
      </c>
      <c r="D37" s="114"/>
      <c r="E37" s="113" t="s">
        <v>593</v>
      </c>
      <c r="F37" s="114" t="s">
        <v>565</v>
      </c>
      <c r="G37" s="114" t="s">
        <v>687</v>
      </c>
      <c r="H37" s="113" t="s">
        <v>609</v>
      </c>
      <c r="I37" s="114" t="s">
        <v>610</v>
      </c>
      <c r="J37" s="114" t="s">
        <v>606</v>
      </c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52"/>
      <c r="V37" s="153"/>
      <c r="W37" s="154"/>
    </row>
    <row r="38" ht="49.5" customHeight="1" spans="1:23">
      <c r="A38" s="116">
        <v>3</v>
      </c>
      <c r="B38" s="123" t="s">
        <v>582</v>
      </c>
      <c r="C38" s="124"/>
      <c r="D38" s="125"/>
      <c r="E38" s="123" t="s">
        <v>282</v>
      </c>
      <c r="F38" s="124"/>
      <c r="G38" s="125"/>
      <c r="H38" s="156" t="s">
        <v>680</v>
      </c>
      <c r="I38" s="157"/>
      <c r="J38" s="158"/>
      <c r="Q38" s="126"/>
      <c r="R38" s="126"/>
      <c r="S38" s="126"/>
      <c r="T38" s="126"/>
    </row>
  </sheetData>
  <mergeCells count="51">
    <mergeCell ref="A3:W3"/>
    <mergeCell ref="B6:D6"/>
    <mergeCell ref="E6:G6"/>
    <mergeCell ref="H6:J6"/>
    <mergeCell ref="K6:M6"/>
    <mergeCell ref="N6:P6"/>
    <mergeCell ref="B13:D13"/>
    <mergeCell ref="E13:G13"/>
    <mergeCell ref="H13:J13"/>
    <mergeCell ref="A15:W15"/>
    <mergeCell ref="B18:D18"/>
    <mergeCell ref="E18:G18"/>
    <mergeCell ref="H18:J18"/>
    <mergeCell ref="K18:M18"/>
    <mergeCell ref="N18:P18"/>
    <mergeCell ref="B25:D25"/>
    <mergeCell ref="E25:G25"/>
    <mergeCell ref="H25:J25"/>
    <mergeCell ref="A28:W28"/>
    <mergeCell ref="B31:D31"/>
    <mergeCell ref="E31:G31"/>
    <mergeCell ref="H31:J31"/>
    <mergeCell ref="K31:M31"/>
    <mergeCell ref="N31:P31"/>
    <mergeCell ref="B38:D38"/>
    <mergeCell ref="E38:G38"/>
    <mergeCell ref="H38:J38"/>
    <mergeCell ref="A9:A10"/>
    <mergeCell ref="A21:A22"/>
    <mergeCell ref="A34:A35"/>
    <mergeCell ref="B9:D10"/>
    <mergeCell ref="E9:G10"/>
    <mergeCell ref="H9:J10"/>
    <mergeCell ref="K9:M10"/>
    <mergeCell ref="N9:P10"/>
    <mergeCell ref="Q9:S10"/>
    <mergeCell ref="U11:W12"/>
    <mergeCell ref="B21:D22"/>
    <mergeCell ref="E21:G22"/>
    <mergeCell ref="H21:J22"/>
    <mergeCell ref="K21:M22"/>
    <mergeCell ref="N21:P22"/>
    <mergeCell ref="Q21:S22"/>
    <mergeCell ref="B34:D35"/>
    <mergeCell ref="E34:G35"/>
    <mergeCell ref="H34:J35"/>
    <mergeCell ref="K34:M35"/>
    <mergeCell ref="N34:P35"/>
    <mergeCell ref="Q34:S35"/>
    <mergeCell ref="U36:W37"/>
    <mergeCell ref="U23:W24"/>
  </mergeCells>
  <pageMargins left="0.75" right="0.75" top="1" bottom="1" header="0.5" footer="0.5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249977111117893"/>
  </sheetPr>
  <dimension ref="A1:AU26"/>
  <sheetViews>
    <sheetView zoomScale="80" zoomScaleNormal="80" workbookViewId="0">
      <selection activeCell="AQ18" sqref="AQ18"/>
    </sheetView>
  </sheetViews>
  <sheetFormatPr defaultColWidth="10.5714285714286" defaultRowHeight="15"/>
  <cols>
    <col min="1" max="1" width="10.5714285714286" style="2"/>
    <col min="2" max="2" width="3.57142857142857" style="2" customWidth="1"/>
    <col min="3" max="5" width="5.42857142857143" style="2" customWidth="1"/>
    <col min="6" max="6" width="3.57142857142857" style="2" customWidth="1"/>
    <col min="7" max="9" width="5.42857142857143" style="2" customWidth="1"/>
    <col min="10" max="10" width="3.57142857142857" style="2" customWidth="1"/>
    <col min="11" max="11" width="5.42857142857143" style="2" customWidth="1"/>
    <col min="12" max="12" width="5.42857142857143" style="3" customWidth="1"/>
    <col min="13" max="13" width="5.42857142857143" style="2" customWidth="1"/>
    <col min="14" max="14" width="3.57142857142857" style="2" customWidth="1"/>
    <col min="15" max="15" width="5.42857142857143" style="2" customWidth="1"/>
    <col min="16" max="16" width="5.42857142857143" style="3" customWidth="1"/>
    <col min="17" max="17" width="7.42857142857143" style="2" customWidth="1"/>
    <col min="18" max="18" width="3.57142857142857" style="2" customWidth="1"/>
    <col min="19" max="21" width="5.42857142857143" style="2" customWidth="1"/>
    <col min="22" max="22" width="3.57142857142857" style="2" customWidth="1"/>
    <col min="23" max="25" width="5.42857142857143" style="2" customWidth="1"/>
    <col min="26" max="26" width="5.85714285714286" style="2" customWidth="1"/>
    <col min="27" max="29" width="5.42857142857143" style="2" customWidth="1"/>
    <col min="30" max="30" width="3.57142857142857" style="2" customWidth="1"/>
    <col min="31" max="32" width="5.42857142857143" style="2" customWidth="1"/>
    <col min="33" max="33" width="7.42857142857143" style="2" customWidth="1"/>
    <col min="34" max="34" width="5.42857142857143" style="2" customWidth="1"/>
    <col min="35" max="35" width="3.57142857142857" style="2" customWidth="1"/>
    <col min="36" max="36" width="5.42857142857143" style="2" customWidth="1"/>
    <col min="37" max="37" width="6" style="2" customWidth="1"/>
    <col min="38" max="38" width="10" style="2" customWidth="1"/>
    <col min="39" max="39" width="3.57142857142857" style="2" customWidth="1"/>
    <col min="40" max="41" width="5.42857142857143" style="2" customWidth="1"/>
    <col min="42" max="42" width="10" style="2" customWidth="1"/>
    <col min="43" max="43" width="13.1428571428571" style="2" customWidth="1"/>
    <col min="44" max="46" width="5.42857142857143" style="2" customWidth="1"/>
    <col min="47" max="47" width="3" style="2" customWidth="1"/>
    <col min="48" max="48" width="3.57142857142857" style="2" customWidth="1"/>
    <col min="49" max="51" width="5.42857142857143" style="2" customWidth="1"/>
    <col min="52" max="16384" width="10.5714285714286" style="2"/>
  </cols>
  <sheetData>
    <row r="1" ht="15.75"/>
    <row r="2" ht="15.75" spans="1:47">
      <c r="B2" s="5" t="s">
        <v>556</v>
      </c>
      <c r="C2" s="5"/>
      <c r="D2" s="5"/>
      <c r="E2" s="5"/>
      <c r="F2" s="5"/>
      <c r="G2" s="5"/>
      <c r="H2" s="5"/>
      <c r="I2" s="5"/>
      <c r="J2" s="6" t="s">
        <v>557</v>
      </c>
      <c r="K2" s="7"/>
      <c r="L2" s="7"/>
      <c r="M2" s="7"/>
      <c r="N2" s="7"/>
      <c r="O2" s="7"/>
      <c r="P2" s="7"/>
      <c r="Q2" s="8"/>
      <c r="R2" s="5" t="s">
        <v>558</v>
      </c>
      <c r="S2" s="5"/>
      <c r="T2" s="5"/>
      <c r="U2" s="5"/>
      <c r="V2" s="5"/>
      <c r="W2" s="5"/>
      <c r="X2" s="5"/>
      <c r="Y2" s="5"/>
      <c r="Z2" s="6" t="s">
        <v>559</v>
      </c>
      <c r="AA2" s="7"/>
      <c r="AB2" s="7"/>
      <c r="AC2" s="7"/>
      <c r="AD2" s="7"/>
      <c r="AE2" s="7"/>
      <c r="AF2" s="7"/>
      <c r="AG2" s="8"/>
      <c r="AI2" s="5" t="s">
        <v>560</v>
      </c>
      <c r="AJ2" s="5"/>
      <c r="AK2" s="5"/>
      <c r="AL2" s="5"/>
      <c r="AM2" s="5"/>
      <c r="AN2" s="5"/>
      <c r="AO2" s="5"/>
      <c r="AP2" s="5"/>
      <c r="AQ2" s="6" t="s">
        <v>561</v>
      </c>
      <c r="AR2" s="7"/>
      <c r="AS2" s="7"/>
      <c r="AT2" s="8"/>
      <c r="AU2" s="9"/>
    </row>
    <row r="3" ht="15.75" spans="1:47">
      <c r="B3" s="6">
        <v>1</v>
      </c>
      <c r="C3" s="7"/>
      <c r="D3" s="7"/>
      <c r="E3" s="8"/>
      <c r="F3" s="6">
        <v>2</v>
      </c>
      <c r="G3" s="7"/>
      <c r="H3" s="7"/>
      <c r="I3" s="8"/>
      <c r="J3" s="6">
        <v>1</v>
      </c>
      <c r="K3" s="7"/>
      <c r="L3" s="7"/>
      <c r="M3" s="8"/>
      <c r="N3" s="6">
        <v>2</v>
      </c>
      <c r="O3" s="7"/>
      <c r="P3" s="7"/>
      <c r="Q3" s="8"/>
      <c r="R3" s="6">
        <v>1</v>
      </c>
      <c r="S3" s="7"/>
      <c r="T3" s="7"/>
      <c r="U3" s="8"/>
      <c r="V3" s="6">
        <v>2</v>
      </c>
      <c r="W3" s="7"/>
      <c r="X3" s="7"/>
      <c r="Y3" s="8"/>
      <c r="Z3" s="6">
        <v>1</v>
      </c>
      <c r="AA3" s="7"/>
      <c r="AB3" s="7"/>
      <c r="AC3" s="8"/>
      <c r="AD3" s="6">
        <v>2</v>
      </c>
      <c r="AE3" s="7"/>
      <c r="AF3" s="7"/>
      <c r="AG3" s="8"/>
      <c r="AI3" s="6">
        <v>1</v>
      </c>
      <c r="AJ3" s="7"/>
      <c r="AK3" s="7"/>
      <c r="AL3" s="8"/>
      <c r="AM3" s="6">
        <v>2</v>
      </c>
      <c r="AN3" s="7"/>
      <c r="AO3" s="7"/>
      <c r="AP3" s="8"/>
      <c r="AQ3" s="6">
        <v>1</v>
      </c>
      <c r="AR3" s="7"/>
      <c r="AS3" s="7"/>
      <c r="AT3" s="8"/>
      <c r="AU3" s="9"/>
    </row>
    <row r="4" ht="15.75" customHeight="1" spans="1:47">
      <c r="A4" s="10" t="s">
        <v>562</v>
      </c>
      <c r="B4" s="11">
        <v>1</v>
      </c>
      <c r="C4" s="12">
        <v>10</v>
      </c>
      <c r="D4" s="13" t="s">
        <v>563</v>
      </c>
      <c r="E4" s="13" t="s">
        <v>563</v>
      </c>
      <c r="F4" s="11" t="s">
        <v>564</v>
      </c>
      <c r="G4" s="13" t="s">
        <v>565</v>
      </c>
      <c r="H4" s="13" t="s">
        <v>563</v>
      </c>
      <c r="I4" s="14" t="s">
        <v>566</v>
      </c>
      <c r="J4" s="15" t="s">
        <v>567</v>
      </c>
      <c r="K4" s="13" t="s">
        <v>565</v>
      </c>
      <c r="L4" s="16" t="s">
        <v>563</v>
      </c>
      <c r="M4" s="13" t="s">
        <v>568</v>
      </c>
      <c r="N4" s="15" t="s">
        <v>569</v>
      </c>
      <c r="O4" s="13" t="s">
        <v>565</v>
      </c>
      <c r="P4" s="16" t="s">
        <v>563</v>
      </c>
      <c r="Q4" s="13" t="s">
        <v>570</v>
      </c>
      <c r="R4" s="15" t="s">
        <v>571</v>
      </c>
      <c r="S4" s="13" t="s">
        <v>565</v>
      </c>
      <c r="T4" s="266" t="s">
        <v>135</v>
      </c>
      <c r="U4" s="13" t="s">
        <v>688</v>
      </c>
      <c r="V4" s="15" t="s">
        <v>572</v>
      </c>
      <c r="W4" s="13" t="s">
        <v>565</v>
      </c>
      <c r="X4" s="266" t="s">
        <v>135</v>
      </c>
      <c r="Y4" s="14" t="s">
        <v>571</v>
      </c>
      <c r="Z4" s="15" t="s">
        <v>573</v>
      </c>
      <c r="AA4" s="13" t="s">
        <v>565</v>
      </c>
      <c r="AB4" s="13" t="s">
        <v>436</v>
      </c>
      <c r="AC4" s="13" t="s">
        <v>572</v>
      </c>
      <c r="AD4" s="15" t="s">
        <v>574</v>
      </c>
      <c r="AE4" s="13" t="s">
        <v>575</v>
      </c>
      <c r="AF4" s="13" t="s">
        <v>156</v>
      </c>
      <c r="AG4" s="17" t="s">
        <v>689</v>
      </c>
      <c r="AH4" s="18"/>
      <c r="AI4" s="15" t="s">
        <v>576</v>
      </c>
      <c r="AJ4" s="13" t="s">
        <v>565</v>
      </c>
      <c r="AK4" s="13" t="s">
        <v>114</v>
      </c>
      <c r="AL4" s="114" t="s">
        <v>690</v>
      </c>
      <c r="AM4" s="15" t="s">
        <v>577</v>
      </c>
      <c r="AN4" s="13" t="s">
        <v>565</v>
      </c>
      <c r="AO4" s="13"/>
      <c r="AP4" s="13"/>
      <c r="AQ4" s="15" t="s">
        <v>578</v>
      </c>
      <c r="AR4" s="13" t="s">
        <v>565</v>
      </c>
      <c r="AS4" s="17"/>
      <c r="AT4" s="13"/>
      <c r="AU4" s="19"/>
    </row>
    <row r="5" s="1" customFormat="1" ht="46.5" customHeight="1" spans="1:47">
      <c r="A5" s="20"/>
      <c r="B5" s="21" t="s">
        <v>37</v>
      </c>
      <c r="C5" s="22"/>
      <c r="D5" s="22"/>
      <c r="E5" s="23"/>
      <c r="F5" s="21" t="s">
        <v>62</v>
      </c>
      <c r="G5" s="22"/>
      <c r="H5" s="22"/>
      <c r="I5" s="23"/>
      <c r="J5" s="24" t="s">
        <v>81</v>
      </c>
      <c r="K5" s="25"/>
      <c r="L5" s="25"/>
      <c r="M5" s="26"/>
      <c r="N5" s="24" t="s">
        <v>104</v>
      </c>
      <c r="O5" s="25"/>
      <c r="P5" s="25"/>
      <c r="Q5" s="26"/>
      <c r="R5" s="27" t="s">
        <v>338</v>
      </c>
      <c r="S5" s="28"/>
      <c r="T5" s="28"/>
      <c r="U5" s="29"/>
      <c r="V5" s="27" t="s">
        <v>337</v>
      </c>
      <c r="W5" s="28"/>
      <c r="X5" s="28"/>
      <c r="Y5" s="29"/>
      <c r="Z5" s="27" t="s">
        <v>435</v>
      </c>
      <c r="AA5" s="28"/>
      <c r="AB5" s="28"/>
      <c r="AC5" s="29"/>
      <c r="AD5" s="27" t="s">
        <v>460</v>
      </c>
      <c r="AE5" s="28"/>
      <c r="AF5" s="28"/>
      <c r="AG5" s="29"/>
      <c r="AI5" s="30" t="s">
        <v>377</v>
      </c>
      <c r="AJ5" s="31"/>
      <c r="AK5" s="31"/>
      <c r="AL5" s="32"/>
      <c r="AM5" s="33" t="s">
        <v>582</v>
      </c>
      <c r="AN5" s="34"/>
      <c r="AO5" s="34"/>
      <c r="AP5" s="35"/>
      <c r="AQ5" s="33" t="s">
        <v>582</v>
      </c>
      <c r="AR5" s="34"/>
      <c r="AS5" s="34"/>
      <c r="AT5" s="35"/>
    </row>
    <row r="6" ht="15.75" spans="1:47">
      <c r="A6" s="10" t="s">
        <v>583</v>
      </c>
      <c r="B6" s="11">
        <v>2</v>
      </c>
      <c r="C6" s="12">
        <v>5</v>
      </c>
      <c r="D6" s="16" t="str">
        <f>'[1]Malla base'!D6</f>
        <v>Ea</v>
      </c>
      <c r="E6" s="13" t="s">
        <v>563</v>
      </c>
      <c r="F6" s="11" t="s">
        <v>575</v>
      </c>
      <c r="G6" s="13" t="s">
        <v>565</v>
      </c>
      <c r="H6" s="13" t="s">
        <v>563</v>
      </c>
      <c r="I6" s="14" t="s">
        <v>584</v>
      </c>
      <c r="J6" s="15" t="s">
        <v>570</v>
      </c>
      <c r="K6" s="13" t="s">
        <v>565</v>
      </c>
      <c r="L6" s="16" t="s">
        <v>563</v>
      </c>
      <c r="M6" s="13" t="s">
        <v>671</v>
      </c>
      <c r="N6" s="15" t="s">
        <v>585</v>
      </c>
      <c r="O6" s="13" t="s">
        <v>565</v>
      </c>
      <c r="P6" s="16" t="str">
        <f>'[1]Malla base'!P6</f>
        <v>Eb</v>
      </c>
      <c r="Q6" s="13" t="s">
        <v>586</v>
      </c>
      <c r="R6" s="15" t="s">
        <v>587</v>
      </c>
      <c r="S6" s="13" t="s">
        <v>565</v>
      </c>
      <c r="T6" s="13"/>
      <c r="U6" s="13" t="s">
        <v>570</v>
      </c>
      <c r="V6" s="15" t="s">
        <v>588</v>
      </c>
      <c r="W6" s="13" t="s">
        <v>565</v>
      </c>
      <c r="X6" s="13"/>
      <c r="Y6" s="13" t="s">
        <v>575</v>
      </c>
      <c r="Z6" s="15" t="s">
        <v>589</v>
      </c>
      <c r="AA6" s="13" t="s">
        <v>565</v>
      </c>
      <c r="AB6" s="13"/>
      <c r="AC6" s="13" t="s">
        <v>571</v>
      </c>
      <c r="AD6" s="15" t="s">
        <v>590</v>
      </c>
      <c r="AE6" s="13" t="s">
        <v>565</v>
      </c>
      <c r="AF6" s="13"/>
      <c r="AG6" s="13" t="s">
        <v>691</v>
      </c>
      <c r="AH6" s="18"/>
      <c r="AI6" s="15" t="s">
        <v>591</v>
      </c>
      <c r="AJ6" s="13" t="s">
        <v>565</v>
      </c>
      <c r="AK6" s="13"/>
      <c r="AL6" s="114" t="s">
        <v>690</v>
      </c>
      <c r="AM6" s="15" t="s">
        <v>592</v>
      </c>
      <c r="AN6" s="13" t="s">
        <v>565</v>
      </c>
      <c r="AO6" s="13" t="s">
        <v>692</v>
      </c>
      <c r="AP6" s="114" t="s">
        <v>693</v>
      </c>
      <c r="AQ6" s="15" t="s">
        <v>593</v>
      </c>
      <c r="AR6" s="13" t="s">
        <v>565</v>
      </c>
      <c r="AS6" s="13" t="s">
        <v>186</v>
      </c>
      <c r="AT6" s="13"/>
      <c r="AU6" s="18"/>
    </row>
    <row r="7" s="1" customFormat="1" ht="46.5" customHeight="1" spans="1:47">
      <c r="A7" s="20"/>
      <c r="B7" s="21" t="s">
        <v>52</v>
      </c>
      <c r="C7" s="22"/>
      <c r="D7" s="22"/>
      <c r="E7" s="23"/>
      <c r="F7" s="21" t="s">
        <v>70</v>
      </c>
      <c r="G7" s="22"/>
      <c r="H7" s="22"/>
      <c r="I7" s="23"/>
      <c r="J7" s="24" t="s">
        <v>77</v>
      </c>
      <c r="K7" s="25"/>
      <c r="L7" s="25"/>
      <c r="M7" s="26"/>
      <c r="N7" s="24" t="s">
        <v>93</v>
      </c>
      <c r="O7" s="25"/>
      <c r="P7" s="25"/>
      <c r="Q7" s="26"/>
      <c r="R7" s="27" t="s">
        <v>226</v>
      </c>
      <c r="S7" s="28"/>
      <c r="T7" s="28"/>
      <c r="U7" s="29"/>
      <c r="V7" s="27" t="s">
        <v>532</v>
      </c>
      <c r="W7" s="28"/>
      <c r="X7" s="28"/>
      <c r="Y7" s="29"/>
      <c r="Z7" s="27" t="s">
        <v>451</v>
      </c>
      <c r="AA7" s="28"/>
      <c r="AB7" s="28"/>
      <c r="AC7" s="29"/>
      <c r="AD7" s="27" t="s">
        <v>472</v>
      </c>
      <c r="AE7" s="28"/>
      <c r="AF7" s="28"/>
      <c r="AG7" s="29"/>
      <c r="AI7" s="30" t="s">
        <v>367</v>
      </c>
      <c r="AJ7" s="31"/>
      <c r="AK7" s="31"/>
      <c r="AL7" s="32"/>
      <c r="AM7" s="30" t="s">
        <v>529</v>
      </c>
      <c r="AN7" s="31"/>
      <c r="AO7" s="31"/>
      <c r="AP7" s="32"/>
      <c r="AQ7" s="30" t="s">
        <v>694</v>
      </c>
      <c r="AR7" s="31"/>
      <c r="AS7" s="31"/>
      <c r="AT7" s="32"/>
    </row>
    <row r="8" ht="15.75" spans="1:47">
      <c r="A8" s="10" t="s">
        <v>594</v>
      </c>
      <c r="B8" s="11">
        <v>3</v>
      </c>
      <c r="C8" s="12" t="s">
        <v>595</v>
      </c>
      <c r="D8" s="13" t="s">
        <v>563</v>
      </c>
      <c r="E8" s="13" t="s">
        <v>563</v>
      </c>
      <c r="F8" s="11" t="s">
        <v>596</v>
      </c>
      <c r="G8" s="13" t="s">
        <v>565</v>
      </c>
      <c r="H8" s="13"/>
      <c r="I8" s="13" t="s">
        <v>597</v>
      </c>
      <c r="J8" s="15" t="s">
        <v>598</v>
      </c>
      <c r="K8" s="13" t="s">
        <v>565</v>
      </c>
      <c r="L8" s="16" t="str">
        <f>'[1]Malla base'!L8</f>
        <v>Eb</v>
      </c>
      <c r="M8" s="12">
        <v>10</v>
      </c>
      <c r="N8" s="15" t="s">
        <v>599</v>
      </c>
      <c r="O8" s="12" t="s">
        <v>595</v>
      </c>
      <c r="P8" s="16" t="str">
        <f>'[1]Malla base'!P8</f>
        <v>Eb</v>
      </c>
      <c r="Q8" s="13" t="s">
        <v>600</v>
      </c>
      <c r="R8" s="15" t="s">
        <v>601</v>
      </c>
      <c r="S8" s="13" t="s">
        <v>565</v>
      </c>
      <c r="T8" s="13"/>
      <c r="U8" s="13" t="s">
        <v>695</v>
      </c>
      <c r="V8" s="15" t="s">
        <v>602</v>
      </c>
      <c r="W8" s="13" t="s">
        <v>565</v>
      </c>
      <c r="X8" s="13" t="s">
        <v>257</v>
      </c>
      <c r="Y8" s="13" t="s">
        <v>696</v>
      </c>
      <c r="Z8" s="15" t="s">
        <v>603</v>
      </c>
      <c r="AA8" s="13" t="s">
        <v>565</v>
      </c>
      <c r="AB8" s="13"/>
      <c r="AC8" s="13" t="s">
        <v>602</v>
      </c>
      <c r="AD8" s="15" t="s">
        <v>604</v>
      </c>
      <c r="AE8" s="13" t="s">
        <v>565</v>
      </c>
      <c r="AF8" s="13"/>
      <c r="AG8" s="13" t="s">
        <v>697</v>
      </c>
      <c r="AH8" s="18"/>
      <c r="AI8" s="15" t="s">
        <v>605</v>
      </c>
      <c r="AJ8" s="13" t="s">
        <v>565</v>
      </c>
      <c r="AK8" s="13" t="s">
        <v>186</v>
      </c>
      <c r="AL8" s="13" t="s">
        <v>698</v>
      </c>
      <c r="AM8" s="15" t="s">
        <v>606</v>
      </c>
      <c r="AN8" s="13" t="s">
        <v>607</v>
      </c>
      <c r="AO8" s="13" t="s">
        <v>186</v>
      </c>
      <c r="AP8" s="13" t="s">
        <v>608</v>
      </c>
      <c r="AQ8" s="15" t="s">
        <v>609</v>
      </c>
      <c r="AR8" s="13" t="s">
        <v>610</v>
      </c>
      <c r="AS8" s="13" t="s">
        <v>186</v>
      </c>
      <c r="AT8" s="13" t="s">
        <v>606</v>
      </c>
      <c r="AU8" s="18"/>
    </row>
    <row r="9" s="1" customFormat="1" ht="46.5" customHeight="1" spans="1:47">
      <c r="A9" s="20"/>
      <c r="B9" s="21" t="s">
        <v>56</v>
      </c>
      <c r="C9" s="22"/>
      <c r="D9" s="22"/>
      <c r="E9" s="23"/>
      <c r="F9" s="21" t="s">
        <v>74</v>
      </c>
      <c r="G9" s="22"/>
      <c r="H9" s="22"/>
      <c r="I9" s="23"/>
      <c r="J9" s="21" t="s">
        <v>89</v>
      </c>
      <c r="K9" s="22"/>
      <c r="L9" s="22"/>
      <c r="M9" s="23"/>
      <c r="N9" s="24" t="s">
        <v>107</v>
      </c>
      <c r="O9" s="25"/>
      <c r="P9" s="25"/>
      <c r="Q9" s="26"/>
      <c r="R9" s="27" t="s">
        <v>396</v>
      </c>
      <c r="S9" s="28"/>
      <c r="T9" s="28"/>
      <c r="U9" s="29"/>
      <c r="V9" s="27" t="s">
        <v>323</v>
      </c>
      <c r="W9" s="28"/>
      <c r="X9" s="28"/>
      <c r="Y9" s="29"/>
      <c r="Z9" s="27" t="s">
        <v>351</v>
      </c>
      <c r="AA9" s="28"/>
      <c r="AB9" s="28"/>
      <c r="AC9" s="29"/>
      <c r="AD9" s="27" t="s">
        <v>374</v>
      </c>
      <c r="AE9" s="28"/>
      <c r="AF9" s="28"/>
      <c r="AG9" s="29"/>
      <c r="AI9" s="30" t="s">
        <v>220</v>
      </c>
      <c r="AJ9" s="31"/>
      <c r="AK9" s="31"/>
      <c r="AL9" s="32"/>
      <c r="AM9" s="36" t="s">
        <v>612</v>
      </c>
      <c r="AN9" s="37"/>
      <c r="AO9" s="37"/>
      <c r="AP9" s="38"/>
      <c r="AQ9" s="36" t="s">
        <v>613</v>
      </c>
      <c r="AR9" s="37"/>
      <c r="AS9" s="37"/>
      <c r="AT9" s="38"/>
      <c r="AU9" s="39"/>
    </row>
    <row r="10" ht="15.75" customHeight="1" spans="1:47">
      <c r="A10" s="10" t="s">
        <v>614</v>
      </c>
      <c r="B10" s="11" t="s">
        <v>607</v>
      </c>
      <c r="C10" s="16">
        <v>1</v>
      </c>
      <c r="D10" s="13" t="s">
        <v>563</v>
      </c>
      <c r="E10" s="13" t="s">
        <v>563</v>
      </c>
      <c r="F10" s="11" t="s">
        <v>615</v>
      </c>
      <c r="G10" s="13" t="s">
        <v>595</v>
      </c>
      <c r="H10" s="12" t="str">
        <f>'[1]Malla base'!H10</f>
        <v>Ea</v>
      </c>
      <c r="I10" s="159" t="s">
        <v>607</v>
      </c>
      <c r="J10" s="15" t="s">
        <v>616</v>
      </c>
      <c r="K10" s="13" t="s">
        <v>595</v>
      </c>
      <c r="L10" s="16" t="str">
        <f>'[1]Malla base'!L10</f>
        <v>Ia</v>
      </c>
      <c r="M10" s="13" t="s">
        <v>597</v>
      </c>
      <c r="N10" s="15" t="s">
        <v>617</v>
      </c>
      <c r="O10" s="13" t="s">
        <v>565</v>
      </c>
      <c r="P10" s="16" t="s">
        <v>563</v>
      </c>
      <c r="Q10" s="13" t="s">
        <v>618</v>
      </c>
      <c r="R10" s="15" t="s">
        <v>619</v>
      </c>
      <c r="S10" s="13" t="s">
        <v>565</v>
      </c>
      <c r="T10" s="13"/>
      <c r="U10" s="13"/>
      <c r="V10" s="15" t="s">
        <v>620</v>
      </c>
      <c r="W10" s="13" t="s">
        <v>565</v>
      </c>
      <c r="X10" s="266" t="s">
        <v>135</v>
      </c>
      <c r="Y10" s="13" t="s">
        <v>642</v>
      </c>
      <c r="Z10" s="15" t="s">
        <v>621</v>
      </c>
      <c r="AA10" s="13" t="s">
        <v>565</v>
      </c>
      <c r="AB10" s="13"/>
      <c r="AC10" s="13"/>
      <c r="AD10" s="15" t="s">
        <v>622</v>
      </c>
      <c r="AE10" s="13" t="s">
        <v>565</v>
      </c>
      <c r="AF10" s="13"/>
      <c r="AG10" s="17" t="s">
        <v>699</v>
      </c>
      <c r="AH10" s="18"/>
      <c r="AI10" s="15" t="s">
        <v>623</v>
      </c>
      <c r="AJ10" s="13" t="s">
        <v>565</v>
      </c>
      <c r="AK10" s="13"/>
      <c r="AL10" s="13"/>
      <c r="AM10" s="15" t="s">
        <v>624</v>
      </c>
      <c r="AN10" s="13" t="s">
        <v>565</v>
      </c>
      <c r="AO10" s="13"/>
      <c r="AP10" s="13"/>
      <c r="AU10" s="41"/>
    </row>
    <row r="11" s="1" customFormat="1" ht="46.5" customHeight="1" spans="1:47">
      <c r="A11" s="20"/>
      <c r="B11" s="42" t="s">
        <v>49</v>
      </c>
      <c r="C11" s="43"/>
      <c r="D11" s="43"/>
      <c r="E11" s="44"/>
      <c r="F11" s="21" t="s">
        <v>67</v>
      </c>
      <c r="G11" s="22"/>
      <c r="H11" s="22"/>
      <c r="I11" s="23"/>
      <c r="J11" s="24" t="s">
        <v>85</v>
      </c>
      <c r="K11" s="25"/>
      <c r="L11" s="25"/>
      <c r="M11" s="26"/>
      <c r="N11" s="24" t="s">
        <v>97</v>
      </c>
      <c r="O11" s="25"/>
      <c r="P11" s="25"/>
      <c r="Q11" s="26"/>
      <c r="R11" s="45" t="s">
        <v>625</v>
      </c>
      <c r="S11" s="46"/>
      <c r="T11" s="46"/>
      <c r="U11" s="47"/>
      <c r="V11" s="27" t="s">
        <v>455</v>
      </c>
      <c r="W11" s="28"/>
      <c r="X11" s="28"/>
      <c r="Y11" s="29"/>
      <c r="Z11" s="45" t="s">
        <v>625</v>
      </c>
      <c r="AA11" s="46"/>
      <c r="AB11" s="46"/>
      <c r="AC11" s="47"/>
      <c r="AD11" s="27" t="s">
        <v>554</v>
      </c>
      <c r="AE11" s="28"/>
      <c r="AF11" s="28"/>
      <c r="AG11" s="29"/>
      <c r="AI11" s="33" t="s">
        <v>674</v>
      </c>
      <c r="AJ11" s="34"/>
      <c r="AK11" s="34"/>
      <c r="AL11" s="35"/>
      <c r="AM11" s="33" t="s">
        <v>674</v>
      </c>
      <c r="AN11" s="34"/>
      <c r="AO11" s="34"/>
      <c r="AP11" s="35"/>
      <c r="AU11" s="39"/>
    </row>
    <row r="12" ht="15.75" spans="1:47">
      <c r="A12" s="10" t="s">
        <v>627</v>
      </c>
      <c r="B12" s="11" t="s">
        <v>595</v>
      </c>
      <c r="C12" s="16">
        <v>3</v>
      </c>
      <c r="D12" s="13"/>
      <c r="E12" s="13" t="s">
        <v>563</v>
      </c>
      <c r="F12"/>
      <c r="G12"/>
      <c r="H12"/>
      <c r="I12"/>
      <c r="N12" s="15" t="s">
        <v>628</v>
      </c>
      <c r="O12" s="13" t="s">
        <v>629</v>
      </c>
      <c r="P12" s="16"/>
      <c r="Q12" s="13" t="s">
        <v>652</v>
      </c>
      <c r="V12" s="15" t="s">
        <v>630</v>
      </c>
      <c r="W12" s="13" t="s">
        <v>565</v>
      </c>
      <c r="X12" s="13"/>
      <c r="Y12" s="13"/>
      <c r="Z12" s="15" t="s">
        <v>631</v>
      </c>
      <c r="AA12" s="13" t="s">
        <v>565</v>
      </c>
      <c r="AB12" s="16" t="s">
        <v>632</v>
      </c>
      <c r="AC12" s="17" t="s">
        <v>633</v>
      </c>
      <c r="AH12" s="18"/>
      <c r="AI12" s="15" t="s">
        <v>634</v>
      </c>
      <c r="AJ12" s="13" t="s">
        <v>565</v>
      </c>
      <c r="AK12" s="13"/>
      <c r="AL12" s="13"/>
      <c r="AM12" s="15" t="s">
        <v>635</v>
      </c>
      <c r="AN12" s="13" t="s">
        <v>565</v>
      </c>
      <c r="AO12" s="13"/>
      <c r="AP12" s="13"/>
      <c r="AU12" s="41"/>
    </row>
    <row r="13" s="1" customFormat="1" ht="46.5" customHeight="1" spans="1:47">
      <c r="A13" s="20"/>
      <c r="B13" s="48" t="s">
        <v>59</v>
      </c>
      <c r="C13" s="49"/>
      <c r="D13" s="49"/>
      <c r="E13" s="50"/>
      <c r="F13" s="51"/>
      <c r="G13" s="51"/>
      <c r="H13" s="51"/>
      <c r="I13" s="51"/>
      <c r="L13" s="52"/>
      <c r="N13" s="53" t="s">
        <v>101</v>
      </c>
      <c r="O13" s="54"/>
      <c r="P13" s="54"/>
      <c r="Q13" s="55"/>
      <c r="V13" s="45" t="s">
        <v>625</v>
      </c>
      <c r="W13" s="46"/>
      <c r="X13" s="46"/>
      <c r="Y13" s="47"/>
      <c r="Z13" s="56" t="s">
        <v>426</v>
      </c>
      <c r="AA13" s="57"/>
      <c r="AB13" s="57"/>
      <c r="AC13" s="58"/>
      <c r="AI13" s="33" t="s">
        <v>674</v>
      </c>
      <c r="AJ13" s="34"/>
      <c r="AK13" s="34"/>
      <c r="AL13" s="35"/>
      <c r="AM13" s="33" t="s">
        <v>674</v>
      </c>
      <c r="AN13" s="34"/>
      <c r="AO13" s="34"/>
      <c r="AP13" s="35"/>
      <c r="AU13" s="39"/>
    </row>
    <row r="14" customHeight="1" spans="1:47">
      <c r="A14" s="59" t="s">
        <v>636</v>
      </c>
      <c r="B14" s="11" t="s">
        <v>565</v>
      </c>
      <c r="C14" s="12">
        <v>3</v>
      </c>
      <c r="D14" s="13" t="s">
        <v>563</v>
      </c>
      <c r="E14" s="13" t="s">
        <v>563</v>
      </c>
      <c r="F14" s="11" t="s">
        <v>637</v>
      </c>
      <c r="G14" s="13" t="s">
        <v>629</v>
      </c>
      <c r="H14" s="13" t="s">
        <v>563</v>
      </c>
      <c r="I14" s="13" t="s">
        <v>565</v>
      </c>
      <c r="J14" s="15" t="s">
        <v>610</v>
      </c>
      <c r="K14" s="13" t="s">
        <v>629</v>
      </c>
      <c r="L14" s="16" t="s">
        <v>563</v>
      </c>
      <c r="M14" s="13" t="s">
        <v>637</v>
      </c>
      <c r="N14" s="15" t="s">
        <v>638</v>
      </c>
      <c r="O14" s="13" t="s">
        <v>607</v>
      </c>
      <c r="P14" s="16" t="s">
        <v>563</v>
      </c>
      <c r="Q14" s="13" t="s">
        <v>563</v>
      </c>
      <c r="R14" s="15" t="s">
        <v>639</v>
      </c>
      <c r="S14" s="13" t="s">
        <v>629</v>
      </c>
      <c r="T14" s="13" t="s">
        <v>563</v>
      </c>
      <c r="U14" s="13" t="s">
        <v>628</v>
      </c>
      <c r="V14" s="60"/>
      <c r="W14" s="60"/>
      <c r="X14" s="60"/>
      <c r="Y14" s="60"/>
      <c r="Z14" s="61"/>
      <c r="AA14" s="62"/>
      <c r="AB14" s="62"/>
      <c r="AC14" s="63"/>
      <c r="AD14" s="15" t="s">
        <v>640</v>
      </c>
      <c r="AE14" s="13" t="s">
        <v>629</v>
      </c>
      <c r="AF14" s="13" t="s">
        <v>563</v>
      </c>
      <c r="AG14" s="13" t="s">
        <v>563</v>
      </c>
      <c r="AI14" s="60"/>
      <c r="AJ14" s="60"/>
      <c r="AK14" s="60"/>
      <c r="AL14" s="60"/>
      <c r="AM14" s="15" t="s">
        <v>641</v>
      </c>
      <c r="AN14" s="13" t="s">
        <v>642</v>
      </c>
      <c r="AO14" s="16" t="str">
        <f>'[1]Malla base'!AO14</f>
        <v>Ec,Ia</v>
      </c>
      <c r="AP14" s="13" t="s">
        <v>675</v>
      </c>
      <c r="AU14" s="60"/>
    </row>
    <row r="15" ht="46.5" customHeight="1" spans="1:47">
      <c r="A15" s="20"/>
      <c r="B15" s="64" t="s">
        <v>645</v>
      </c>
      <c r="C15" s="65"/>
      <c r="D15" s="65"/>
      <c r="E15" s="66"/>
      <c r="F15" s="67" t="s">
        <v>646</v>
      </c>
      <c r="G15" s="68"/>
      <c r="H15" s="68"/>
      <c r="I15" s="69"/>
      <c r="J15" s="53" t="s">
        <v>647</v>
      </c>
      <c r="K15" s="54"/>
      <c r="L15" s="54"/>
      <c r="M15" s="55"/>
      <c r="N15" s="53" t="s">
        <v>648</v>
      </c>
      <c r="O15" s="54"/>
      <c r="P15" s="54"/>
      <c r="Q15" s="55"/>
      <c r="R15" s="67" t="s">
        <v>320</v>
      </c>
      <c r="S15" s="68"/>
      <c r="T15" s="68"/>
      <c r="U15" s="69"/>
      <c r="V15" s="70"/>
      <c r="W15" s="70"/>
      <c r="X15" s="70"/>
      <c r="Z15" s="70"/>
      <c r="AA15" s="70"/>
      <c r="AB15" s="70"/>
      <c r="AC15" s="71"/>
      <c r="AD15" s="72" t="s">
        <v>649</v>
      </c>
      <c r="AE15" s="73"/>
      <c r="AF15" s="73"/>
      <c r="AG15" s="74"/>
      <c r="AM15" s="75" t="s">
        <v>650</v>
      </c>
      <c r="AN15" s="76"/>
      <c r="AO15" s="76"/>
      <c r="AP15" s="77"/>
    </row>
    <row r="16" ht="16.35" customHeight="1" spans="1:47">
      <c r="A16" s="10" t="s">
        <v>651</v>
      </c>
      <c r="B16" s="11" t="s">
        <v>652</v>
      </c>
      <c r="C16" s="16">
        <v>3</v>
      </c>
      <c r="D16" s="13" t="s">
        <v>563</v>
      </c>
      <c r="E16" s="13" t="s">
        <v>563</v>
      </c>
      <c r="F16" s="11" t="s">
        <v>653</v>
      </c>
      <c r="G16" s="12">
        <v>3</v>
      </c>
      <c r="H16" s="13" t="s">
        <v>563</v>
      </c>
      <c r="I16" s="13" t="s">
        <v>563</v>
      </c>
      <c r="J16" s="15" t="s">
        <v>654</v>
      </c>
      <c r="K16" s="13" t="s">
        <v>607</v>
      </c>
      <c r="L16" s="16" t="s">
        <v>563</v>
      </c>
      <c r="M16" s="13" t="s">
        <v>563</v>
      </c>
      <c r="N16" s="60"/>
      <c r="O16" s="60"/>
      <c r="P16" s="78"/>
      <c r="Q16" s="60"/>
      <c r="R16" s="15" t="s">
        <v>655</v>
      </c>
      <c r="S16" s="13" t="s">
        <v>607</v>
      </c>
      <c r="T16" s="13" t="s">
        <v>563</v>
      </c>
      <c r="U16" s="13" t="s">
        <v>563</v>
      </c>
      <c r="V16" s="60"/>
      <c r="W16" s="60"/>
      <c r="X16" s="60"/>
      <c r="Z16" s="60"/>
      <c r="AA16" s="60"/>
      <c r="AB16" s="60"/>
      <c r="AC16" s="60"/>
      <c r="AD16" s="60"/>
      <c r="AE16" s="60"/>
      <c r="AF16" s="60"/>
    </row>
    <row r="17" ht="46.5" customHeight="1" spans="1:47">
      <c r="A17" s="20"/>
      <c r="B17" s="67" t="s">
        <v>46</v>
      </c>
      <c r="C17" s="68"/>
      <c r="D17" s="68"/>
      <c r="E17" s="69"/>
      <c r="F17" s="79" t="s">
        <v>649</v>
      </c>
      <c r="G17" s="80"/>
      <c r="H17" s="80"/>
      <c r="I17" s="81"/>
      <c r="J17" s="53" t="s">
        <v>648</v>
      </c>
      <c r="K17" s="54"/>
      <c r="L17" s="54"/>
      <c r="M17" s="55"/>
      <c r="N17" s="70"/>
      <c r="O17" s="70"/>
      <c r="P17" s="82"/>
      <c r="Q17" s="70"/>
      <c r="R17" s="53" t="s">
        <v>648</v>
      </c>
      <c r="S17" s="54"/>
      <c r="T17" s="54"/>
      <c r="U17" s="55"/>
      <c r="V17" s="70"/>
      <c r="W17" s="70"/>
      <c r="X17" s="70"/>
      <c r="AC17" s="70"/>
      <c r="AD17" s="70"/>
      <c r="AE17" s="70"/>
      <c r="AF17" s="70"/>
      <c r="AI17" s="2" t="s">
        <v>656</v>
      </c>
    </row>
    <row r="18" ht="15.75" spans="1:47">
      <c r="A18" s="83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78"/>
      <c r="M18" s="60"/>
      <c r="N18" s="60"/>
      <c r="O18" s="60"/>
      <c r="P18" s="78"/>
      <c r="Q18" s="60"/>
      <c r="R18" s="60"/>
      <c r="S18" s="60"/>
      <c r="T18" s="60"/>
      <c r="U18" s="60"/>
      <c r="V18" s="60"/>
      <c r="W18" s="60"/>
      <c r="X18" s="84" t="s">
        <v>657</v>
      </c>
      <c r="Y18" s="16" t="s">
        <v>637</v>
      </c>
      <c r="Z18" s="16" t="str">
        <f>'[1]Malla base'!Z18</f>
        <v>Ic(Ea)</v>
      </c>
      <c r="AA18" s="85" t="s">
        <v>658</v>
      </c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84">
        <v>59</v>
      </c>
      <c r="AP18" s="16" t="s">
        <v>637</v>
      </c>
      <c r="AQ18" s="16" t="str">
        <f>'[1]Malla base'!AQ18</f>
        <v>Ic(Eb, Ob)</v>
      </c>
      <c r="AR18" s="85" t="s">
        <v>660</v>
      </c>
    </row>
    <row r="19" ht="38.1" customHeight="1" spans="1:47">
      <c r="A19" s="86"/>
      <c r="B19" s="86"/>
      <c r="C19" s="86"/>
      <c r="D19" s="86"/>
      <c r="E19" s="11" t="s">
        <v>549</v>
      </c>
      <c r="F19" s="13" t="s">
        <v>661</v>
      </c>
      <c r="G19" s="13"/>
      <c r="H19" s="17"/>
      <c r="I19" s="86"/>
      <c r="J19" s="86"/>
      <c r="K19" s="86"/>
      <c r="L19" s="87"/>
      <c r="M19" s="86"/>
      <c r="N19" s="86"/>
      <c r="O19" s="86"/>
      <c r="P19" s="87"/>
      <c r="Q19" s="86"/>
      <c r="R19" s="86"/>
      <c r="S19" s="86"/>
      <c r="T19" s="86"/>
      <c r="U19" s="86"/>
      <c r="V19" s="86"/>
      <c r="W19" s="86"/>
      <c r="X19" s="75" t="s">
        <v>447</v>
      </c>
      <c r="Y19" s="76"/>
      <c r="Z19" s="76"/>
      <c r="AA19" s="77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75" t="s">
        <v>463</v>
      </c>
      <c r="AP19" s="76"/>
      <c r="AQ19" s="76"/>
      <c r="AR19" s="77"/>
      <c r="AS19" s="86"/>
      <c r="AT19" s="86"/>
      <c r="AU19" s="86"/>
    </row>
    <row r="20" ht="38.1" customHeight="1" spans="1:47">
      <c r="A20" s="86"/>
      <c r="B20" s="86"/>
      <c r="C20" s="86"/>
      <c r="D20" s="86"/>
      <c r="E20" s="88" t="s">
        <v>662</v>
      </c>
      <c r="F20" s="89"/>
      <c r="G20" s="89"/>
      <c r="H20" s="90"/>
      <c r="I20" s="86"/>
      <c r="J20" s="86"/>
      <c r="K20" s="86"/>
      <c r="L20" s="87"/>
      <c r="M20" s="86"/>
      <c r="N20" s="86"/>
      <c r="O20" s="86"/>
      <c r="P20" s="87"/>
      <c r="Q20" s="86"/>
      <c r="R20" s="86"/>
      <c r="S20" s="86"/>
      <c r="T20" s="86"/>
      <c r="U20" s="86"/>
      <c r="V20" s="86"/>
      <c r="W20" s="86"/>
      <c r="X20" s="70"/>
      <c r="Y20" s="70"/>
      <c r="Z20" s="70"/>
      <c r="AA20" s="70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70"/>
      <c r="AP20" s="70"/>
      <c r="AQ20" s="70"/>
      <c r="AR20" s="70"/>
      <c r="AS20" s="86"/>
      <c r="AT20" s="86"/>
      <c r="AU20" s="86"/>
    </row>
    <row r="21" ht="38.1" customHeight="1" spans="1:47">
      <c r="A21" s="86"/>
      <c r="B21" s="86"/>
      <c r="C21" s="86"/>
      <c r="D21" s="86"/>
      <c r="E21" s="86"/>
      <c r="F21" s="86"/>
      <c r="G21" s="86"/>
      <c r="H21" s="86"/>
      <c r="I21" s="86"/>
      <c r="J21" s="86"/>
      <c r="K21" s="86"/>
      <c r="L21" s="87"/>
      <c r="M21" s="86"/>
      <c r="N21" s="86"/>
      <c r="O21" s="86"/>
      <c r="P21" s="87"/>
      <c r="Q21" s="86"/>
      <c r="R21" s="86"/>
      <c r="S21" s="86"/>
      <c r="T21" s="86"/>
      <c r="U21" s="86"/>
      <c r="V21" s="86"/>
      <c r="W21" s="86"/>
      <c r="X21" s="70"/>
      <c r="Y21" s="70"/>
      <c r="Z21" s="70"/>
      <c r="AA21" s="70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70"/>
      <c r="AP21" s="70"/>
      <c r="AQ21" s="70"/>
      <c r="AR21" s="70"/>
      <c r="AS21" s="86"/>
      <c r="AT21" s="86"/>
      <c r="AU21" s="86"/>
    </row>
    <row r="22" ht="15.75" spans="1:47">
      <c r="B22" s="15" t="s">
        <v>663</v>
      </c>
      <c r="C22" s="13" t="s">
        <v>664</v>
      </c>
      <c r="D22" s="13" t="s">
        <v>665</v>
      </c>
      <c r="E22" s="13" t="s">
        <v>666</v>
      </c>
    </row>
    <row r="23" ht="42" customHeight="1" spans="1:47">
      <c r="B23" s="91" t="s">
        <v>667</v>
      </c>
      <c r="C23" s="92"/>
      <c r="D23" s="92"/>
      <c r="E23" s="93"/>
    </row>
    <row r="25" ht="18" customHeight="1" spans="1:47">
      <c r="B25" s="160" t="s">
        <v>556</v>
      </c>
      <c r="C25" s="160"/>
      <c r="D25" s="160"/>
      <c r="E25" s="160"/>
      <c r="F25" s="160"/>
      <c r="G25" s="160"/>
      <c r="H25" s="160"/>
      <c r="I25" s="161"/>
      <c r="J25" s="99" t="s">
        <v>557</v>
      </c>
      <c r="K25" s="99"/>
      <c r="L25" s="99"/>
      <c r="M25" s="99"/>
      <c r="N25" s="99"/>
      <c r="O25" s="99"/>
      <c r="P25" s="99"/>
      <c r="Q25" s="162"/>
      <c r="R25" s="99" t="s">
        <v>558</v>
      </c>
      <c r="S25" s="99"/>
      <c r="T25" s="99"/>
      <c r="U25" s="99"/>
      <c r="V25" s="99"/>
      <c r="W25" s="99"/>
      <c r="X25" s="99"/>
      <c r="Y25" s="162"/>
      <c r="Z25" s="99" t="s">
        <v>559</v>
      </c>
      <c r="AA25" s="99"/>
      <c r="AB25" s="99"/>
      <c r="AC25" s="99"/>
      <c r="AD25" s="99"/>
      <c r="AE25" s="99"/>
      <c r="AF25" s="99"/>
      <c r="AG25" s="99"/>
      <c r="AI25" s="99" t="s">
        <v>560</v>
      </c>
      <c r="AJ25" s="99"/>
      <c r="AK25" s="99"/>
      <c r="AL25" s="99"/>
      <c r="AM25" s="99"/>
      <c r="AN25" s="99"/>
      <c r="AO25" s="99"/>
      <c r="AP25" s="162"/>
      <c r="AQ25" s="99" t="s">
        <v>561</v>
      </c>
      <c r="AR25" s="99"/>
      <c r="AS25" s="99"/>
      <c r="AT25" s="99"/>
    </row>
    <row r="26" ht="14.45" customHeight="1" spans="1:47">
      <c r="B26" s="163">
        <f>C4+C6+C8+C10+C12+C14+C16+G4+G6+G8+G10+G14+G16</f>
        <v>59</v>
      </c>
      <c r="C26" s="164"/>
      <c r="D26" s="164"/>
      <c r="E26" s="164"/>
      <c r="F26" s="164"/>
      <c r="G26" s="164"/>
      <c r="H26" s="164"/>
      <c r="I26" s="165"/>
      <c r="J26" s="98">
        <f>K4+K6+K8+K10+K14+K16+O4+O6+O8+O10+O12+O14</f>
        <v>60</v>
      </c>
      <c r="K26" s="99"/>
      <c r="L26" s="99"/>
      <c r="M26" s="99"/>
      <c r="N26" s="99"/>
      <c r="O26" s="99"/>
      <c r="P26" s="99"/>
      <c r="Q26" s="162"/>
      <c r="R26" s="98">
        <f>S4+S6+S8+S10+S14+S16+W4+W6+W8+W10+W12+Y18</f>
        <v>73</v>
      </c>
      <c r="S26" s="99"/>
      <c r="T26" s="99"/>
      <c r="U26" s="99"/>
      <c r="V26" s="99"/>
      <c r="W26" s="99"/>
      <c r="X26" s="99"/>
      <c r="Y26" s="162"/>
      <c r="Z26" s="98">
        <f>AA4+AA6+AA8+AA10+AA12+AA14+AE4+AE6+AE8+AE10+AE14</f>
        <v>60</v>
      </c>
      <c r="AA26" s="99"/>
      <c r="AB26" s="99"/>
      <c r="AC26" s="99"/>
      <c r="AD26" s="99"/>
      <c r="AE26" s="99"/>
      <c r="AF26" s="99"/>
      <c r="AG26" s="99"/>
      <c r="AI26" s="98">
        <f>AJ4+AJ6+AJ8+AJ10+AJ12+AN4+AN6+AN8+AN10+AN12+AN14+AP18</f>
        <v>72</v>
      </c>
      <c r="AJ26" s="99"/>
      <c r="AK26" s="99"/>
      <c r="AL26" s="99"/>
      <c r="AM26" s="99"/>
      <c r="AN26" s="99"/>
      <c r="AO26" s="99"/>
      <c r="AP26" s="162"/>
      <c r="AQ26" s="98">
        <f>AR4+AR6+AR8</f>
        <v>30</v>
      </c>
      <c r="AR26" s="99"/>
      <c r="AS26" s="99"/>
      <c r="AT26" s="99"/>
    </row>
  </sheetData>
  <mergeCells count="101">
    <mergeCell ref="B2:I2"/>
    <mergeCell ref="J2:Q2"/>
    <mergeCell ref="R2:Y2"/>
    <mergeCell ref="Z2:AG2"/>
    <mergeCell ref="AI2:AP2"/>
    <mergeCell ref="AQ2:AT2"/>
    <mergeCell ref="B3:E3"/>
    <mergeCell ref="F3:I3"/>
    <mergeCell ref="J3:M3"/>
    <mergeCell ref="N3:Q3"/>
    <mergeCell ref="R3:U3"/>
    <mergeCell ref="V3:Y3"/>
    <mergeCell ref="Z3:AC3"/>
    <mergeCell ref="AD3:AG3"/>
    <mergeCell ref="AI3:AL3"/>
    <mergeCell ref="AM3:AP3"/>
    <mergeCell ref="AQ3:AT3"/>
    <mergeCell ref="B5:E5"/>
    <mergeCell ref="F5:I5"/>
    <mergeCell ref="J5:M5"/>
    <mergeCell ref="N5:Q5"/>
    <mergeCell ref="R5:U5"/>
    <mergeCell ref="V5:Y5"/>
    <mergeCell ref="Z5:AC5"/>
    <mergeCell ref="AD5:AG5"/>
    <mergeCell ref="AI5:AL5"/>
    <mergeCell ref="AM5:AP5"/>
    <mergeCell ref="AQ5:AT5"/>
    <mergeCell ref="B7:E7"/>
    <mergeCell ref="F7:I7"/>
    <mergeCell ref="J7:M7"/>
    <mergeCell ref="N7:Q7"/>
    <mergeCell ref="R7:U7"/>
    <mergeCell ref="V7:Y7"/>
    <mergeCell ref="Z7:AC7"/>
    <mergeCell ref="AD7:AG7"/>
    <mergeCell ref="AI7:AL7"/>
    <mergeCell ref="AM7:AP7"/>
    <mergeCell ref="AQ7:AT7"/>
    <mergeCell ref="B9:E9"/>
    <mergeCell ref="F9:I9"/>
    <mergeCell ref="J9:M9"/>
    <mergeCell ref="N9:Q9"/>
    <mergeCell ref="R9:U9"/>
    <mergeCell ref="V9:Y9"/>
    <mergeCell ref="Z9:AC9"/>
    <mergeCell ref="AD9:AG9"/>
    <mergeCell ref="AI9:AL9"/>
    <mergeCell ref="AM9:AP9"/>
    <mergeCell ref="AQ9:AT9"/>
    <mergeCell ref="B11:E11"/>
    <mergeCell ref="F11:I11"/>
    <mergeCell ref="J11:M11"/>
    <mergeCell ref="N11:Q11"/>
    <mergeCell ref="R11:U11"/>
    <mergeCell ref="V11:Y11"/>
    <mergeCell ref="Z11:AC11"/>
    <mergeCell ref="AD11:AG11"/>
    <mergeCell ref="AI11:AL11"/>
    <mergeCell ref="AM11:AP11"/>
    <mergeCell ref="B13:E13"/>
    <mergeCell ref="N13:Q13"/>
    <mergeCell ref="V13:Y13"/>
    <mergeCell ref="Z13:AC13"/>
    <mergeCell ref="AI13:AL13"/>
    <mergeCell ref="AM13:AP13"/>
    <mergeCell ref="B15:E15"/>
    <mergeCell ref="F15:I15"/>
    <mergeCell ref="J15:M15"/>
    <mergeCell ref="N15:Q15"/>
    <mergeCell ref="R15:U15"/>
    <mergeCell ref="Z15:AC15"/>
    <mergeCell ref="AD15:AG15"/>
    <mergeCell ref="AM15:AP15"/>
    <mergeCell ref="B17:E17"/>
    <mergeCell ref="F17:I17"/>
    <mergeCell ref="J17:M17"/>
    <mergeCell ref="R17:U17"/>
    <mergeCell ref="X19:AA19"/>
    <mergeCell ref="AO19:AR19"/>
    <mergeCell ref="E20:H20"/>
    <mergeCell ref="B23:E23"/>
    <mergeCell ref="B25:I25"/>
    <mergeCell ref="J25:Q25"/>
    <mergeCell ref="R25:Y25"/>
    <mergeCell ref="Z25:AG25"/>
    <mergeCell ref="AI25:AP25"/>
    <mergeCell ref="AQ25:AT25"/>
    <mergeCell ref="B26:I26"/>
    <mergeCell ref="J26:Q26"/>
    <mergeCell ref="R26:Y26"/>
    <mergeCell ref="Z26:AG26"/>
    <mergeCell ref="AI26:AP26"/>
    <mergeCell ref="AQ26:AT26"/>
    <mergeCell ref="A4:A5"/>
    <mergeCell ref="A6:A7"/>
    <mergeCell ref="A8:A9"/>
    <mergeCell ref="A10:A11"/>
    <mergeCell ref="A12:A13"/>
    <mergeCell ref="A14:A15"/>
    <mergeCell ref="A16:A17"/>
  </mergeCells>
  <pageMargins left="0.75" right="0.75" top="1" bottom="1" header="0.5" footer="0.5"/>
  <pageSetup paperSize="1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249977111117893"/>
    <pageSetUpPr fitToPage="1"/>
  </sheetPr>
  <dimension ref="A2:W24"/>
  <sheetViews>
    <sheetView zoomScalePageLayoutView="125" workbookViewId="0">
      <selection activeCell="X17" sqref="X17"/>
    </sheetView>
  </sheetViews>
  <sheetFormatPr defaultColWidth="10.5714285714286" defaultRowHeight="12.75"/>
  <cols>
    <col min="1" max="1" width="4.42857142857143" style="109" customWidth="1"/>
    <col min="2" max="2" width="2.57142857142857" style="110" customWidth="1"/>
    <col min="3" max="3" width="2.42857142857143" style="110" customWidth="1"/>
    <col min="4" max="4" width="9.14285714285714" style="110" customWidth="1"/>
    <col min="5" max="5" width="2.57142857142857" style="110" customWidth="1"/>
    <col min="6" max="6" width="2.42857142857143" style="110" customWidth="1"/>
    <col min="7" max="7" width="9.57142857142857" style="110" customWidth="1"/>
    <col min="8" max="8" width="2.57142857142857" style="110" customWidth="1"/>
    <col min="9" max="9" width="2.42857142857143" style="110" customWidth="1"/>
    <col min="10" max="10" width="5" style="110" customWidth="1"/>
    <col min="11" max="11" width="2.57142857142857" style="110" customWidth="1"/>
    <col min="12" max="12" width="3.42857142857143" style="110" customWidth="1"/>
    <col min="13" max="13" width="5.85714285714286" style="110" customWidth="1"/>
    <col min="14" max="14" width="2.57142857142857" style="110" customWidth="1"/>
    <col min="15" max="15" width="2.42857142857143" style="110" customWidth="1"/>
    <col min="16" max="16" width="5" style="110" customWidth="1"/>
    <col min="17" max="17" width="3.42857142857143" style="110" customWidth="1"/>
    <col min="18" max="18" width="2.57142857142857" style="110" customWidth="1"/>
    <col min="19" max="19" width="4.57142857142857" style="110" customWidth="1"/>
    <col min="20" max="20" width="3.42857142857143" style="110" customWidth="1"/>
    <col min="21" max="21" width="2.57142857142857" style="110" customWidth="1"/>
    <col min="22" max="22" width="3.42857142857143" style="110" customWidth="1"/>
    <col min="23" max="23" width="7.57142857142857" style="110" customWidth="1"/>
    <col min="24" max="16384" width="10.5714285714286" style="110"/>
  </cols>
  <sheetData>
    <row r="2" spans="1:23">
      <c r="A2" s="111" t="s">
        <v>700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</row>
    <row r="3" ht="13.5" spans="1:23"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</row>
    <row r="4" ht="13.5" spans="1:23">
      <c r="A4" s="112" t="s">
        <v>677</v>
      </c>
      <c r="B4" s="113" t="s">
        <v>576</v>
      </c>
      <c r="C4" s="114" t="s">
        <v>565</v>
      </c>
      <c r="D4" s="114" t="s">
        <v>690</v>
      </c>
      <c r="E4" s="113" t="s">
        <v>591</v>
      </c>
      <c r="F4" s="114" t="s">
        <v>565</v>
      </c>
      <c r="G4" s="114" t="s">
        <v>690</v>
      </c>
      <c r="H4" s="113" t="s">
        <v>605</v>
      </c>
      <c r="I4" s="114" t="s">
        <v>565</v>
      </c>
      <c r="J4" s="114" t="s">
        <v>698</v>
      </c>
      <c r="K4" s="113" t="s">
        <v>623</v>
      </c>
      <c r="L4" s="114" t="s">
        <v>565</v>
      </c>
      <c r="M4" s="114" t="s">
        <v>690</v>
      </c>
      <c r="N4" s="113" t="s">
        <v>634</v>
      </c>
      <c r="O4" s="114" t="s">
        <v>565</v>
      </c>
      <c r="P4" s="114" t="s">
        <v>701</v>
      </c>
      <c r="Q4" s="115"/>
      <c r="R4" s="115"/>
      <c r="S4" s="115"/>
      <c r="T4" s="115"/>
      <c r="U4" s="115"/>
      <c r="V4" s="115"/>
      <c r="W4" s="115"/>
    </row>
    <row r="5" ht="37.35" customHeight="1" spans="1:23">
      <c r="A5" s="116">
        <v>1</v>
      </c>
      <c r="B5" s="117" t="s">
        <v>377</v>
      </c>
      <c r="C5" s="118"/>
      <c r="D5" s="119"/>
      <c r="E5" s="117" t="s">
        <v>367</v>
      </c>
      <c r="F5" s="118"/>
      <c r="G5" s="119"/>
      <c r="H5" s="120" t="s">
        <v>220</v>
      </c>
      <c r="I5" s="121"/>
      <c r="J5" s="122"/>
      <c r="K5" s="123" t="s">
        <v>406</v>
      </c>
      <c r="L5" s="124"/>
      <c r="M5" s="125"/>
      <c r="N5" s="123" t="s">
        <v>400</v>
      </c>
      <c r="O5" s="124"/>
      <c r="P5" s="125"/>
      <c r="Q5" s="126"/>
      <c r="R5" s="126"/>
      <c r="S5" s="126"/>
      <c r="T5" s="126"/>
    </row>
    <row r="6" ht="13.5"/>
    <row r="7" ht="13.5" spans="1:23">
      <c r="B7" s="113" t="s">
        <v>577</v>
      </c>
      <c r="C7" s="114" t="s">
        <v>565</v>
      </c>
      <c r="D7" s="114"/>
      <c r="E7" s="113" t="s">
        <v>592</v>
      </c>
      <c r="F7" s="114" t="s">
        <v>565</v>
      </c>
      <c r="G7" s="114" t="s">
        <v>693</v>
      </c>
      <c r="H7" s="113" t="s">
        <v>606</v>
      </c>
      <c r="I7" s="114" t="s">
        <v>607</v>
      </c>
      <c r="J7" s="114" t="s">
        <v>608</v>
      </c>
      <c r="K7" s="113" t="s">
        <v>624</v>
      </c>
      <c r="L7" s="114" t="s">
        <v>565</v>
      </c>
      <c r="M7" s="114" t="s">
        <v>693</v>
      </c>
      <c r="N7" s="113" t="s">
        <v>635</v>
      </c>
      <c r="O7" s="114" t="s">
        <v>565</v>
      </c>
      <c r="P7" s="114" t="s">
        <v>702</v>
      </c>
      <c r="Q7" s="127" t="s">
        <v>641</v>
      </c>
      <c r="R7" s="114">
        <v>2</v>
      </c>
      <c r="S7" s="128" t="s">
        <v>675</v>
      </c>
      <c r="T7" s="115"/>
      <c r="U7" s="115"/>
      <c r="V7" s="115"/>
      <c r="W7" s="115"/>
    </row>
    <row r="8" ht="23.25" customHeight="1" spans="1:23">
      <c r="A8" s="129">
        <v>2</v>
      </c>
      <c r="B8" s="130" t="s">
        <v>582</v>
      </c>
      <c r="C8" s="131"/>
      <c r="D8" s="132"/>
      <c r="E8" s="130" t="s">
        <v>529</v>
      </c>
      <c r="F8" s="131"/>
      <c r="G8" s="132"/>
      <c r="H8" s="133" t="s">
        <v>678</v>
      </c>
      <c r="I8" s="134"/>
      <c r="J8" s="135"/>
      <c r="K8" s="136" t="s">
        <v>440</v>
      </c>
      <c r="L8" s="137"/>
      <c r="M8" s="138"/>
      <c r="N8" s="136" t="s">
        <v>370</v>
      </c>
      <c r="O8" s="137"/>
      <c r="P8" s="138"/>
      <c r="Q8" s="139" t="s">
        <v>650</v>
      </c>
      <c r="R8" s="140"/>
      <c r="S8" s="141"/>
    </row>
    <row r="9" ht="14.25" customHeight="1" spans="1:23">
      <c r="A9" s="142"/>
      <c r="B9" s="143"/>
      <c r="C9" s="144"/>
      <c r="D9" s="145"/>
      <c r="E9" s="143"/>
      <c r="F9" s="144"/>
      <c r="G9" s="145"/>
      <c r="H9" s="146"/>
      <c r="I9" s="147"/>
      <c r="J9" s="148"/>
      <c r="K9" s="149"/>
      <c r="L9" s="150"/>
      <c r="M9" s="151"/>
      <c r="N9" s="149"/>
      <c r="O9" s="150"/>
      <c r="P9" s="151"/>
      <c r="Q9" s="152"/>
      <c r="R9" s="153"/>
      <c r="S9" s="154"/>
      <c r="U9" s="127" t="s">
        <v>679</v>
      </c>
      <c r="V9" s="155">
        <v>12</v>
      </c>
      <c r="W9" s="128" t="s">
        <v>660</v>
      </c>
    </row>
    <row r="10" ht="16.35" customHeight="1" spans="1:23">
      <c r="U10" s="139" t="s">
        <v>463</v>
      </c>
      <c r="V10" s="140"/>
      <c r="W10" s="141"/>
    </row>
    <row r="11" ht="13.5" spans="1:23">
      <c r="B11" s="113" t="s">
        <v>578</v>
      </c>
      <c r="C11" s="114" t="s">
        <v>565</v>
      </c>
      <c r="D11" s="114"/>
      <c r="E11" s="113" t="s">
        <v>593</v>
      </c>
      <c r="F11" s="114" t="s">
        <v>565</v>
      </c>
      <c r="G11" s="114" t="s">
        <v>635</v>
      </c>
      <c r="H11" s="113" t="s">
        <v>609</v>
      </c>
      <c r="I11" s="114" t="s">
        <v>610</v>
      </c>
      <c r="J11" s="114" t="s">
        <v>606</v>
      </c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52"/>
      <c r="V11" s="153"/>
      <c r="W11" s="154"/>
    </row>
    <row r="12" ht="45.95" customHeight="1" spans="1:23">
      <c r="A12" s="116">
        <v>3</v>
      </c>
      <c r="B12" s="123" t="s">
        <v>582</v>
      </c>
      <c r="C12" s="124"/>
      <c r="D12" s="125"/>
      <c r="E12" s="123" t="s">
        <v>703</v>
      </c>
      <c r="F12" s="124"/>
      <c r="G12" s="125"/>
      <c r="H12" s="156" t="s">
        <v>680</v>
      </c>
      <c r="I12" s="157"/>
      <c r="J12" s="158"/>
      <c r="Q12" s="126"/>
      <c r="R12" s="126"/>
      <c r="S12" s="126"/>
      <c r="T12" s="126"/>
    </row>
    <row r="14" spans="1:23">
      <c r="A14" s="111" t="s">
        <v>704</v>
      </c>
      <c r="B14" s="111"/>
      <c r="C14" s="111"/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</row>
    <row r="15" ht="13.5" spans="1:23"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</row>
    <row r="16" ht="13.5" spans="1:23">
      <c r="A16" s="112" t="s">
        <v>677</v>
      </c>
      <c r="B16" s="113" t="s">
        <v>576</v>
      </c>
      <c r="C16" s="114" t="s">
        <v>565</v>
      </c>
      <c r="D16" s="114" t="s">
        <v>690</v>
      </c>
      <c r="E16" s="113" t="s">
        <v>591</v>
      </c>
      <c r="F16" s="114" t="s">
        <v>565</v>
      </c>
      <c r="G16" s="114" t="s">
        <v>690</v>
      </c>
      <c r="H16" s="113" t="s">
        <v>605</v>
      </c>
      <c r="I16" s="114" t="s">
        <v>565</v>
      </c>
      <c r="J16" s="114" t="s">
        <v>698</v>
      </c>
      <c r="K16" s="113" t="s">
        <v>623</v>
      </c>
      <c r="L16" s="114" t="s">
        <v>565</v>
      </c>
      <c r="M16" s="114" t="s">
        <v>690</v>
      </c>
      <c r="N16" s="113" t="s">
        <v>634</v>
      </c>
      <c r="O16" s="114" t="s">
        <v>565</v>
      </c>
      <c r="P16" s="114" t="s">
        <v>604</v>
      </c>
      <c r="Q16" s="115"/>
      <c r="R16" s="115"/>
      <c r="S16" s="115"/>
      <c r="T16" s="115"/>
      <c r="U16" s="115"/>
      <c r="V16" s="115"/>
      <c r="W16" s="115"/>
    </row>
    <row r="17" ht="37.35" customHeight="1" spans="1:23">
      <c r="A17" s="116">
        <v>1</v>
      </c>
      <c r="B17" s="117" t="s">
        <v>377</v>
      </c>
      <c r="C17" s="118"/>
      <c r="D17" s="119"/>
      <c r="E17" s="117" t="s">
        <v>367</v>
      </c>
      <c r="F17" s="118"/>
      <c r="G17" s="119"/>
      <c r="H17" s="120" t="s">
        <v>220</v>
      </c>
      <c r="I17" s="121"/>
      <c r="J17" s="122"/>
      <c r="K17" s="123" t="s">
        <v>359</v>
      </c>
      <c r="L17" s="124"/>
      <c r="M17" s="125"/>
      <c r="N17" s="123" t="s">
        <v>430</v>
      </c>
      <c r="O17" s="124"/>
      <c r="P17" s="125"/>
      <c r="Q17" s="126"/>
      <c r="R17" s="126"/>
      <c r="S17" s="126"/>
      <c r="T17" s="126"/>
    </row>
    <row r="18" ht="13.5"/>
    <row r="19" ht="13.5" spans="1:23">
      <c r="B19" s="113" t="s">
        <v>577</v>
      </c>
      <c r="C19" s="114" t="s">
        <v>565</v>
      </c>
      <c r="D19" s="114"/>
      <c r="E19" s="113" t="s">
        <v>592</v>
      </c>
      <c r="F19" s="114" t="s">
        <v>565</v>
      </c>
      <c r="G19" s="114" t="s">
        <v>693</v>
      </c>
      <c r="H19" s="113" t="s">
        <v>606</v>
      </c>
      <c r="I19" s="114" t="s">
        <v>607</v>
      </c>
      <c r="J19" s="114" t="s">
        <v>608</v>
      </c>
      <c r="K19" s="113" t="s">
        <v>624</v>
      </c>
      <c r="L19" s="114" t="s">
        <v>565</v>
      </c>
      <c r="M19" s="114" t="s">
        <v>623</v>
      </c>
      <c r="N19" s="113" t="s">
        <v>635</v>
      </c>
      <c r="O19" s="114" t="s">
        <v>565</v>
      </c>
      <c r="P19" s="114" t="s">
        <v>705</v>
      </c>
      <c r="Q19" s="127" t="s">
        <v>641</v>
      </c>
      <c r="R19" s="114">
        <v>2</v>
      </c>
      <c r="S19" s="128" t="s">
        <v>675</v>
      </c>
      <c r="T19" s="115"/>
      <c r="U19" s="115"/>
      <c r="V19" s="115"/>
      <c r="W19" s="115"/>
    </row>
    <row r="20" ht="23.25" customHeight="1" spans="1:23">
      <c r="A20" s="129">
        <v>2</v>
      </c>
      <c r="B20" s="130" t="s">
        <v>582</v>
      </c>
      <c r="C20" s="131"/>
      <c r="D20" s="132"/>
      <c r="E20" s="130" t="s">
        <v>529</v>
      </c>
      <c r="F20" s="131"/>
      <c r="G20" s="132"/>
      <c r="H20" s="133" t="s">
        <v>678</v>
      </c>
      <c r="I20" s="134"/>
      <c r="J20" s="135"/>
      <c r="K20" s="136" t="s">
        <v>315</v>
      </c>
      <c r="L20" s="137"/>
      <c r="M20" s="138"/>
      <c r="N20" s="136" t="s">
        <v>444</v>
      </c>
      <c r="O20" s="137"/>
      <c r="P20" s="138"/>
      <c r="Q20" s="139" t="s">
        <v>650</v>
      </c>
      <c r="R20" s="140"/>
      <c r="S20" s="141"/>
    </row>
    <row r="21" ht="13.5" spans="1:23">
      <c r="A21" s="142"/>
      <c r="B21" s="143"/>
      <c r="C21" s="144"/>
      <c r="D21" s="145"/>
      <c r="E21" s="143"/>
      <c r="F21" s="144"/>
      <c r="G21" s="145"/>
      <c r="H21" s="146"/>
      <c r="I21" s="147"/>
      <c r="J21" s="148"/>
      <c r="K21" s="149"/>
      <c r="L21" s="150"/>
      <c r="M21" s="151"/>
      <c r="N21" s="149"/>
      <c r="O21" s="150"/>
      <c r="P21" s="151"/>
      <c r="Q21" s="152"/>
      <c r="R21" s="153"/>
      <c r="S21" s="154"/>
      <c r="U21" s="127" t="s">
        <v>679</v>
      </c>
      <c r="V21" s="155">
        <v>12</v>
      </c>
      <c r="W21" s="128" t="s">
        <v>660</v>
      </c>
    </row>
    <row r="22" ht="17.25" customHeight="1" spans="1:23">
      <c r="U22" s="139" t="s">
        <v>463</v>
      </c>
      <c r="V22" s="140"/>
      <c r="W22" s="141"/>
    </row>
    <row r="23" ht="13.5" spans="1:23">
      <c r="B23" s="113" t="s">
        <v>578</v>
      </c>
      <c r="C23" s="114" t="s">
        <v>565</v>
      </c>
      <c r="D23" s="114"/>
      <c r="E23" s="113" t="s">
        <v>593</v>
      </c>
      <c r="F23" s="114" t="s">
        <v>565</v>
      </c>
      <c r="G23" s="114" t="s">
        <v>624</v>
      </c>
      <c r="H23" s="113" t="s">
        <v>609</v>
      </c>
      <c r="I23" s="114" t="s">
        <v>610</v>
      </c>
      <c r="J23" s="114" t="s">
        <v>606</v>
      </c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52"/>
      <c r="V23" s="153"/>
      <c r="W23" s="154"/>
    </row>
    <row r="24" ht="48.95" customHeight="1" spans="1:23">
      <c r="A24" s="116">
        <v>3</v>
      </c>
      <c r="B24" s="123" t="s">
        <v>582</v>
      </c>
      <c r="C24" s="124"/>
      <c r="D24" s="125"/>
      <c r="E24" s="123" t="s">
        <v>706</v>
      </c>
      <c r="F24" s="124"/>
      <c r="G24" s="125"/>
      <c r="H24" s="156" t="s">
        <v>680</v>
      </c>
      <c r="I24" s="157"/>
      <c r="J24" s="158"/>
      <c r="Q24" s="126"/>
      <c r="R24" s="126"/>
      <c r="S24" s="126"/>
      <c r="T24" s="126"/>
    </row>
  </sheetData>
  <mergeCells count="34">
    <mergeCell ref="A2:W2"/>
    <mergeCell ref="B5:D5"/>
    <mergeCell ref="E5:G5"/>
    <mergeCell ref="H5:J5"/>
    <mergeCell ref="K5:M5"/>
    <mergeCell ref="N5:P5"/>
    <mergeCell ref="B12:D12"/>
    <mergeCell ref="E12:G12"/>
    <mergeCell ref="H12:J12"/>
    <mergeCell ref="A14:W14"/>
    <mergeCell ref="B17:D17"/>
    <mergeCell ref="E17:G17"/>
    <mergeCell ref="H17:J17"/>
    <mergeCell ref="K17:M17"/>
    <mergeCell ref="N17:P17"/>
    <mergeCell ref="B24:D24"/>
    <mergeCell ref="E24:G24"/>
    <mergeCell ref="H24:J24"/>
    <mergeCell ref="A8:A9"/>
    <mergeCell ref="A20:A21"/>
    <mergeCell ref="B8:D9"/>
    <mergeCell ref="E8:G9"/>
    <mergeCell ref="H8:J9"/>
    <mergeCell ref="K8:M9"/>
    <mergeCell ref="N8:P9"/>
    <mergeCell ref="Q8:S9"/>
    <mergeCell ref="B20:D21"/>
    <mergeCell ref="E20:G21"/>
    <mergeCell ref="H20:J21"/>
    <mergeCell ref="K20:M21"/>
    <mergeCell ref="N20:P21"/>
    <mergeCell ref="Q20:S21"/>
    <mergeCell ref="U22:W23"/>
    <mergeCell ref="U10:W11"/>
  </mergeCells>
  <pageMargins left="0.748031496062992" right="0.748031496062992" top="0.984251968503937" bottom="0.984251968503937" header="0.511811023622047" footer="0.511811023622047"/>
  <pageSetup paperSize="1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W27"/>
  <sheetViews>
    <sheetView zoomScale="70" zoomScaleNormal="70" topLeftCell="F1" workbookViewId="0">
      <selection activeCell="AJ16" sqref="AJ16"/>
    </sheetView>
  </sheetViews>
  <sheetFormatPr defaultColWidth="10.5714285714286" defaultRowHeight="15"/>
  <cols>
    <col min="1" max="1" width="10.5714285714286" style="2"/>
    <col min="2" max="2" width="3.57142857142857" style="2" customWidth="1"/>
    <col min="3" max="3" width="5.42857142857143" style="2" customWidth="1"/>
    <col min="4" max="4" width="5.42857142857143" style="3" customWidth="1"/>
    <col min="5" max="5" width="5.42857142857143" style="2" customWidth="1"/>
    <col min="6" max="6" width="3.57142857142857" style="2" customWidth="1"/>
    <col min="7" max="7" width="5.42857142857143" style="2" customWidth="1"/>
    <col min="8" max="8" width="5.42857142857143" style="3" customWidth="1"/>
    <col min="9" max="9" width="5.42857142857143" style="2" customWidth="1"/>
    <col min="10" max="10" width="3.57142857142857" style="2" customWidth="1"/>
    <col min="11" max="11" width="5.42857142857143" style="2" customWidth="1"/>
    <col min="12" max="12" width="5.42857142857143" style="3" customWidth="1"/>
    <col min="13" max="13" width="5.42857142857143" style="2" customWidth="1"/>
    <col min="14" max="14" width="3.57142857142857" style="2" customWidth="1"/>
    <col min="15" max="15" width="5.42857142857143" style="2" customWidth="1"/>
    <col min="16" max="16" width="5.42857142857143" style="3" customWidth="1"/>
    <col min="17" max="17" width="7.42857142857143" style="2" customWidth="1"/>
    <col min="18" max="18" width="3.57142857142857" style="2" customWidth="1"/>
    <col min="19" max="21" width="5.42857142857143" style="2" customWidth="1"/>
    <col min="22" max="22" width="3.57142857142857" style="2" customWidth="1"/>
    <col min="23" max="25" width="5.42857142857143" style="2" customWidth="1"/>
    <col min="26" max="26" width="3.57142857142857" style="2" customWidth="1"/>
    <col min="27" max="29" width="5.42857142857143" style="2" customWidth="1"/>
    <col min="30" max="30" width="3.57142857142857" style="2" customWidth="1"/>
    <col min="31" max="32" width="5.42857142857143" style="2" customWidth="1"/>
    <col min="33" max="33" width="7.42857142857143" style="2" customWidth="1"/>
    <col min="34" max="34" width="5.42857142857143" style="2" customWidth="1"/>
    <col min="35" max="35" width="3.57142857142857" style="2" customWidth="1"/>
    <col min="36" max="36" width="5.42857142857143" style="2" customWidth="1"/>
    <col min="37" max="37" width="6.57142857142857" style="2" customWidth="1"/>
    <col min="38" max="38" width="5.42857142857143" style="2" customWidth="1"/>
    <col min="39" max="39" width="3.57142857142857" style="2" customWidth="1"/>
    <col min="40" max="40" width="5.42857142857143" style="2" customWidth="1"/>
    <col min="41" max="41" width="5.42857142857143" style="3" customWidth="1"/>
    <col min="42" max="42" width="5.42857142857143" style="2" customWidth="1"/>
    <col min="43" max="43" width="3.57142857142857" style="2" customWidth="1"/>
    <col min="44" max="46" width="5.42857142857143" style="2" customWidth="1"/>
    <col min="47" max="47" width="3" style="2" customWidth="1"/>
    <col min="48" max="48" width="3.57142857142857" style="2" customWidth="1"/>
    <col min="49" max="51" width="5.42857142857143" style="2" customWidth="1"/>
    <col min="52" max="16384" width="10.5714285714286" style="2"/>
  </cols>
  <sheetData>
    <row r="1" ht="15.75"/>
    <row r="2" ht="15.75" spans="1:49">
      <c r="B2" s="5" t="s">
        <v>556</v>
      </c>
      <c r="C2" s="5"/>
      <c r="D2" s="5"/>
      <c r="E2" s="5"/>
      <c r="F2" s="5"/>
      <c r="G2" s="5"/>
      <c r="H2" s="5"/>
      <c r="I2" s="5"/>
      <c r="J2" s="6" t="s">
        <v>557</v>
      </c>
      <c r="K2" s="7"/>
      <c r="L2" s="7"/>
      <c r="M2" s="7"/>
      <c r="N2" s="7"/>
      <c r="O2" s="7"/>
      <c r="P2" s="7"/>
      <c r="Q2" s="8"/>
      <c r="R2" s="5" t="s">
        <v>558</v>
      </c>
      <c r="S2" s="5"/>
      <c r="T2" s="5"/>
      <c r="U2" s="5"/>
      <c r="V2" s="5"/>
      <c r="W2" s="5"/>
      <c r="X2" s="5"/>
      <c r="Y2" s="5"/>
      <c r="Z2" s="6" t="s">
        <v>559</v>
      </c>
      <c r="AA2" s="7"/>
      <c r="AB2" s="7"/>
      <c r="AC2" s="7"/>
      <c r="AD2" s="7"/>
      <c r="AE2" s="7"/>
      <c r="AF2" s="7"/>
      <c r="AG2" s="8"/>
      <c r="AI2" s="5" t="s">
        <v>560</v>
      </c>
      <c r="AJ2" s="5"/>
      <c r="AK2" s="5"/>
      <c r="AL2" s="5"/>
      <c r="AM2" s="5"/>
      <c r="AN2" s="5"/>
      <c r="AO2" s="5"/>
      <c r="AP2" s="5"/>
      <c r="AQ2" s="6" t="s">
        <v>561</v>
      </c>
      <c r="AR2" s="7"/>
      <c r="AS2" s="7"/>
      <c r="AT2" s="8"/>
      <c r="AU2" s="9"/>
    </row>
    <row r="3" ht="15.75" spans="1:49">
      <c r="B3" s="6">
        <v>1</v>
      </c>
      <c r="C3" s="7"/>
      <c r="D3" s="7"/>
      <c r="E3" s="8"/>
      <c r="F3" s="6">
        <v>2</v>
      </c>
      <c r="G3" s="7"/>
      <c r="H3" s="7"/>
      <c r="I3" s="8"/>
      <c r="J3" s="6">
        <v>1</v>
      </c>
      <c r="K3" s="7"/>
      <c r="L3" s="7"/>
      <c r="M3" s="8"/>
      <c r="N3" s="6">
        <v>2</v>
      </c>
      <c r="O3" s="7"/>
      <c r="P3" s="7"/>
      <c r="Q3" s="8"/>
      <c r="R3" s="6">
        <v>1</v>
      </c>
      <c r="S3" s="7"/>
      <c r="T3" s="7"/>
      <c r="U3" s="8"/>
      <c r="V3" s="6">
        <v>2</v>
      </c>
      <c r="W3" s="7"/>
      <c r="X3" s="7"/>
      <c r="Y3" s="8"/>
      <c r="Z3" s="6">
        <v>1</v>
      </c>
      <c r="AA3" s="7"/>
      <c r="AB3" s="7"/>
      <c r="AC3" s="8"/>
      <c r="AD3" s="6">
        <v>2</v>
      </c>
      <c r="AE3" s="7"/>
      <c r="AF3" s="7"/>
      <c r="AG3" s="8"/>
      <c r="AI3" s="6">
        <v>1</v>
      </c>
      <c r="AJ3" s="7"/>
      <c r="AK3" s="7"/>
      <c r="AL3" s="8"/>
      <c r="AM3" s="6">
        <v>2</v>
      </c>
      <c r="AN3" s="7"/>
      <c r="AO3" s="7"/>
      <c r="AP3" s="8"/>
      <c r="AQ3" s="6">
        <v>1</v>
      </c>
      <c r="AR3" s="7"/>
      <c r="AS3" s="7"/>
      <c r="AT3" s="8"/>
      <c r="AU3" s="9"/>
      <c r="AW3" s="104"/>
    </row>
    <row r="4" ht="15.75" customHeight="1" spans="1:49">
      <c r="A4" s="10" t="s">
        <v>562</v>
      </c>
      <c r="B4" s="11">
        <v>1</v>
      </c>
      <c r="C4" s="12">
        <v>10</v>
      </c>
      <c r="D4" s="16" t="s">
        <v>563</v>
      </c>
      <c r="E4" s="13" t="s">
        <v>563</v>
      </c>
      <c r="F4" s="11" t="s">
        <v>564</v>
      </c>
      <c r="G4" s="13" t="s">
        <v>565</v>
      </c>
      <c r="H4" s="16" t="s">
        <v>563</v>
      </c>
      <c r="I4" s="14" t="s">
        <v>566</v>
      </c>
      <c r="J4" s="15" t="s">
        <v>567</v>
      </c>
      <c r="K4" s="13" t="s">
        <v>565</v>
      </c>
      <c r="L4" s="16" t="s">
        <v>563</v>
      </c>
      <c r="M4" s="13" t="s">
        <v>568</v>
      </c>
      <c r="N4" s="15" t="s">
        <v>569</v>
      </c>
      <c r="O4" s="13" t="s">
        <v>565</v>
      </c>
      <c r="P4" s="16" t="s">
        <v>563</v>
      </c>
      <c r="Q4" s="13" t="s">
        <v>570</v>
      </c>
      <c r="R4" s="15" t="s">
        <v>571</v>
      </c>
      <c r="S4" s="13" t="s">
        <v>565</v>
      </c>
      <c r="T4" s="13"/>
      <c r="U4" s="13" t="s">
        <v>707</v>
      </c>
      <c r="V4" s="15" t="s">
        <v>572</v>
      </c>
      <c r="W4" s="13" t="s">
        <v>565</v>
      </c>
      <c r="X4" s="13"/>
      <c r="Y4" s="13" t="s">
        <v>571</v>
      </c>
      <c r="Z4" s="15" t="s">
        <v>573</v>
      </c>
      <c r="AA4" s="13" t="s">
        <v>565</v>
      </c>
      <c r="AB4" s="13"/>
      <c r="AC4" s="13" t="s">
        <v>669</v>
      </c>
      <c r="AD4" s="15" t="s">
        <v>574</v>
      </c>
      <c r="AE4" s="13" t="s">
        <v>575</v>
      </c>
      <c r="AF4" s="13" t="s">
        <v>135</v>
      </c>
      <c r="AG4" s="17" t="s">
        <v>708</v>
      </c>
      <c r="AH4" s="18"/>
      <c r="AI4" s="15" t="s">
        <v>576</v>
      </c>
      <c r="AJ4" s="13" t="s">
        <v>565</v>
      </c>
      <c r="AK4" s="13"/>
      <c r="AL4" s="13" t="s">
        <v>590</v>
      </c>
      <c r="AM4" s="15" t="s">
        <v>577</v>
      </c>
      <c r="AN4" s="13" t="s">
        <v>565</v>
      </c>
      <c r="AO4" s="13" t="s">
        <v>114</v>
      </c>
      <c r="AP4" s="13" t="s">
        <v>709</v>
      </c>
      <c r="AQ4" s="15" t="s">
        <v>578</v>
      </c>
      <c r="AR4" s="13" t="s">
        <v>565</v>
      </c>
      <c r="AS4" s="17"/>
      <c r="AT4" s="13"/>
      <c r="AU4" s="19"/>
    </row>
    <row r="5" s="1" customFormat="1" ht="46.5" customHeight="1" spans="1:49">
      <c r="A5" s="20"/>
      <c r="B5" s="21" t="s">
        <v>37</v>
      </c>
      <c r="C5" s="22"/>
      <c r="D5" s="22"/>
      <c r="E5" s="23"/>
      <c r="F5" s="21" t="s">
        <v>62</v>
      </c>
      <c r="G5" s="22"/>
      <c r="H5" s="22"/>
      <c r="I5" s="23"/>
      <c r="J5" s="24" t="s">
        <v>81</v>
      </c>
      <c r="K5" s="25"/>
      <c r="L5" s="25"/>
      <c r="M5" s="26"/>
      <c r="N5" s="24" t="s">
        <v>104</v>
      </c>
      <c r="O5" s="25"/>
      <c r="P5" s="25"/>
      <c r="Q5" s="26"/>
      <c r="R5" s="27" t="s">
        <v>117</v>
      </c>
      <c r="S5" s="28"/>
      <c r="T5" s="28"/>
      <c r="U5" s="29"/>
      <c r="V5" s="27" t="s">
        <v>127</v>
      </c>
      <c r="W5" s="28"/>
      <c r="X5" s="28"/>
      <c r="Y5" s="29"/>
      <c r="Z5" s="27" t="s">
        <v>162</v>
      </c>
      <c r="AA5" s="28"/>
      <c r="AB5" s="28"/>
      <c r="AC5" s="29"/>
      <c r="AD5" s="27" t="s">
        <v>175</v>
      </c>
      <c r="AE5" s="28"/>
      <c r="AF5" s="28"/>
      <c r="AG5" s="29"/>
      <c r="AI5" s="30" t="s">
        <v>180</v>
      </c>
      <c r="AJ5" s="31"/>
      <c r="AK5" s="31"/>
      <c r="AL5" s="32"/>
      <c r="AM5" s="30" t="s">
        <v>364</v>
      </c>
      <c r="AN5" s="31"/>
      <c r="AO5" s="31"/>
      <c r="AP5" s="32"/>
      <c r="AQ5" s="33" t="s">
        <v>710</v>
      </c>
      <c r="AR5" s="34"/>
      <c r="AS5" s="34"/>
      <c r="AT5" s="35"/>
    </row>
    <row r="6" ht="16.35" customHeight="1" spans="1:49">
      <c r="A6" s="10" t="s">
        <v>583</v>
      </c>
      <c r="B6" s="11">
        <v>2</v>
      </c>
      <c r="C6" s="12">
        <v>5</v>
      </c>
      <c r="D6" s="16" t="str">
        <f>'Malla base'!D6</f>
        <v>Ea</v>
      </c>
      <c r="E6" s="13" t="s">
        <v>563</v>
      </c>
      <c r="F6" s="11" t="s">
        <v>575</v>
      </c>
      <c r="G6" s="13" t="s">
        <v>565</v>
      </c>
      <c r="H6" s="16" t="s">
        <v>563</v>
      </c>
      <c r="I6" s="14" t="s">
        <v>584</v>
      </c>
      <c r="J6" s="15" t="s">
        <v>570</v>
      </c>
      <c r="K6" s="13" t="s">
        <v>565</v>
      </c>
      <c r="L6" s="16" t="s">
        <v>563</v>
      </c>
      <c r="M6" s="13" t="s">
        <v>671</v>
      </c>
      <c r="N6" s="15" t="s">
        <v>585</v>
      </c>
      <c r="O6" s="13" t="s">
        <v>565</v>
      </c>
      <c r="P6" s="16" t="str">
        <f>'Malla base'!P6</f>
        <v>Eb</v>
      </c>
      <c r="Q6" s="13" t="s">
        <v>586</v>
      </c>
      <c r="R6" s="15" t="s">
        <v>587</v>
      </c>
      <c r="S6" s="13" t="s">
        <v>565</v>
      </c>
      <c r="T6" s="266" t="s">
        <v>86</v>
      </c>
      <c r="U6" s="13" t="s">
        <v>567</v>
      </c>
      <c r="V6" s="15" t="s">
        <v>588</v>
      </c>
      <c r="W6" s="13" t="s">
        <v>565</v>
      </c>
      <c r="X6" s="266" t="s">
        <v>135</v>
      </c>
      <c r="Y6" s="13" t="s">
        <v>587</v>
      </c>
      <c r="Z6" s="15" t="s">
        <v>589</v>
      </c>
      <c r="AA6" s="13" t="s">
        <v>565</v>
      </c>
      <c r="AB6" s="13" t="s">
        <v>711</v>
      </c>
      <c r="AC6" s="13" t="s">
        <v>712</v>
      </c>
      <c r="AD6" s="15" t="s">
        <v>590</v>
      </c>
      <c r="AE6" s="13" t="s">
        <v>565</v>
      </c>
      <c r="AF6" s="266" t="s">
        <v>156</v>
      </c>
      <c r="AG6" s="105" t="s">
        <v>713</v>
      </c>
      <c r="AH6" s="18"/>
      <c r="AI6" s="15" t="s">
        <v>591</v>
      </c>
      <c r="AJ6" s="13" t="s">
        <v>565</v>
      </c>
      <c r="AK6" s="17" t="s">
        <v>611</v>
      </c>
      <c r="AL6" s="13" t="s">
        <v>604</v>
      </c>
      <c r="AM6" s="15" t="s">
        <v>592</v>
      </c>
      <c r="AN6" s="13" t="s">
        <v>565</v>
      </c>
      <c r="AO6" s="13"/>
      <c r="AP6" s="13" t="s">
        <v>589</v>
      </c>
      <c r="AQ6" s="15" t="s">
        <v>593</v>
      </c>
      <c r="AR6" s="13" t="s">
        <v>565</v>
      </c>
      <c r="AS6" s="13"/>
      <c r="AT6" s="13"/>
      <c r="AU6" s="18"/>
    </row>
    <row r="7" s="1" customFormat="1" ht="46.5" customHeight="1" spans="1:49">
      <c r="A7" s="20"/>
      <c r="B7" s="21" t="s">
        <v>52</v>
      </c>
      <c r="C7" s="22"/>
      <c r="D7" s="22"/>
      <c r="E7" s="23"/>
      <c r="F7" s="21" t="s">
        <v>70</v>
      </c>
      <c r="G7" s="22"/>
      <c r="H7" s="22"/>
      <c r="I7" s="23"/>
      <c r="J7" s="24" t="s">
        <v>77</v>
      </c>
      <c r="K7" s="25"/>
      <c r="L7" s="25"/>
      <c r="M7" s="26"/>
      <c r="N7" s="24" t="s">
        <v>93</v>
      </c>
      <c r="O7" s="25"/>
      <c r="P7" s="25"/>
      <c r="Q7" s="26"/>
      <c r="R7" s="27" t="s">
        <v>125</v>
      </c>
      <c r="S7" s="28"/>
      <c r="T7" s="28"/>
      <c r="U7" s="29"/>
      <c r="V7" s="27" t="s">
        <v>134</v>
      </c>
      <c r="W7" s="28"/>
      <c r="X7" s="28"/>
      <c r="Y7" s="29"/>
      <c r="Z7" s="27" t="s">
        <v>158</v>
      </c>
      <c r="AA7" s="28"/>
      <c r="AB7" s="28"/>
      <c r="AC7" s="29"/>
      <c r="AD7" s="27" t="s">
        <v>169</v>
      </c>
      <c r="AE7" s="28"/>
      <c r="AF7" s="28"/>
      <c r="AG7" s="29"/>
      <c r="AI7" s="30" t="s">
        <v>193</v>
      </c>
      <c r="AJ7" s="31"/>
      <c r="AK7" s="31"/>
      <c r="AL7" s="32"/>
      <c r="AM7" s="30" t="s">
        <v>212</v>
      </c>
      <c r="AN7" s="31"/>
      <c r="AO7" s="31"/>
      <c r="AP7" s="32"/>
      <c r="AQ7" s="33" t="s">
        <v>710</v>
      </c>
      <c r="AR7" s="34"/>
      <c r="AS7" s="34"/>
      <c r="AT7" s="35"/>
    </row>
    <row r="8" ht="16.35" customHeight="1" spans="1:49">
      <c r="A8" s="10" t="s">
        <v>594</v>
      </c>
      <c r="B8" s="11">
        <v>3</v>
      </c>
      <c r="C8" s="12" t="s">
        <v>595</v>
      </c>
      <c r="D8" s="16" t="s">
        <v>563</v>
      </c>
      <c r="E8" s="13" t="s">
        <v>563</v>
      </c>
      <c r="F8" s="11" t="s">
        <v>596</v>
      </c>
      <c r="G8" s="13" t="s">
        <v>565</v>
      </c>
      <c r="H8" s="16" t="s">
        <v>563</v>
      </c>
      <c r="I8" s="13" t="s">
        <v>597</v>
      </c>
      <c r="J8" s="15" t="s">
        <v>598</v>
      </c>
      <c r="K8" s="13" t="s">
        <v>565</v>
      </c>
      <c r="L8" s="16" t="str">
        <f>'Malla base'!L8</f>
        <v>Eb</v>
      </c>
      <c r="M8" s="13" t="s">
        <v>596</v>
      </c>
      <c r="N8" s="15" t="s">
        <v>599</v>
      </c>
      <c r="O8" s="13" t="s">
        <v>595</v>
      </c>
      <c r="P8" s="16" t="str">
        <f>'Malla base'!P8</f>
        <v>Eb</v>
      </c>
      <c r="Q8" s="13" t="s">
        <v>600</v>
      </c>
      <c r="R8" s="15" t="s">
        <v>601</v>
      </c>
      <c r="S8" s="13" t="s">
        <v>565</v>
      </c>
      <c r="T8" s="13"/>
      <c r="U8" s="105" t="s">
        <v>564</v>
      </c>
      <c r="V8" s="15" t="s">
        <v>602</v>
      </c>
      <c r="W8" s="13" t="s">
        <v>565</v>
      </c>
      <c r="X8" s="13" t="s">
        <v>714</v>
      </c>
      <c r="Y8" s="13" t="s">
        <v>585</v>
      </c>
      <c r="Z8" s="15" t="s">
        <v>603</v>
      </c>
      <c r="AA8" s="13" t="s">
        <v>565</v>
      </c>
      <c r="AB8" s="13" t="s">
        <v>156</v>
      </c>
      <c r="AC8" s="13" t="s">
        <v>715</v>
      </c>
      <c r="AD8" s="15" t="s">
        <v>604</v>
      </c>
      <c r="AE8" s="13" t="s">
        <v>565</v>
      </c>
      <c r="AF8" s="266" t="s">
        <v>156</v>
      </c>
      <c r="AG8" s="13" t="s">
        <v>603</v>
      </c>
      <c r="AH8" s="18"/>
      <c r="AI8" s="15" t="s">
        <v>605</v>
      </c>
      <c r="AJ8" s="13" t="s">
        <v>565</v>
      </c>
      <c r="AK8" s="13" t="s">
        <v>186</v>
      </c>
      <c r="AL8" s="13" t="s">
        <v>716</v>
      </c>
      <c r="AM8" s="15" t="s">
        <v>606</v>
      </c>
      <c r="AN8" s="13" t="s">
        <v>607</v>
      </c>
      <c r="AO8" s="13" t="s">
        <v>186</v>
      </c>
      <c r="AP8" s="13" t="s">
        <v>608</v>
      </c>
      <c r="AQ8" s="15" t="s">
        <v>609</v>
      </c>
      <c r="AR8" s="13" t="s">
        <v>610</v>
      </c>
      <c r="AS8" s="13" t="s">
        <v>186</v>
      </c>
      <c r="AT8" s="13" t="s">
        <v>606</v>
      </c>
      <c r="AU8" s="18"/>
    </row>
    <row r="9" s="1" customFormat="1" ht="46.5" customHeight="1" spans="1:49">
      <c r="A9" s="20"/>
      <c r="B9" s="21" t="s">
        <v>56</v>
      </c>
      <c r="C9" s="22"/>
      <c r="D9" s="22"/>
      <c r="E9" s="23"/>
      <c r="F9" s="21" t="s">
        <v>74</v>
      </c>
      <c r="G9" s="22"/>
      <c r="H9" s="22"/>
      <c r="I9" s="23"/>
      <c r="J9" s="21" t="s">
        <v>89</v>
      </c>
      <c r="K9" s="22"/>
      <c r="L9" s="22"/>
      <c r="M9" s="23"/>
      <c r="N9" s="24" t="s">
        <v>107</v>
      </c>
      <c r="O9" s="25"/>
      <c r="P9" s="25"/>
      <c r="Q9" s="26"/>
      <c r="R9" s="27" t="s">
        <v>121</v>
      </c>
      <c r="S9" s="28"/>
      <c r="T9" s="28"/>
      <c r="U9" s="29"/>
      <c r="V9" s="27" t="s">
        <v>130</v>
      </c>
      <c r="W9" s="28"/>
      <c r="X9" s="28"/>
      <c r="Y9" s="29"/>
      <c r="Z9" s="27" t="s">
        <v>154</v>
      </c>
      <c r="AA9" s="28"/>
      <c r="AB9" s="28"/>
      <c r="AC9" s="29"/>
      <c r="AD9" s="27" t="s">
        <v>172</v>
      </c>
      <c r="AE9" s="28"/>
      <c r="AF9" s="28"/>
      <c r="AG9" s="29"/>
      <c r="AI9" s="30" t="s">
        <v>717</v>
      </c>
      <c r="AJ9" s="31"/>
      <c r="AK9" s="31"/>
      <c r="AL9" s="32"/>
      <c r="AM9" s="36" t="s">
        <v>612</v>
      </c>
      <c r="AN9" s="37"/>
      <c r="AO9" s="37"/>
      <c r="AP9" s="38"/>
      <c r="AQ9" s="36" t="s">
        <v>613</v>
      </c>
      <c r="AR9" s="37"/>
      <c r="AS9" s="37"/>
      <c r="AT9" s="38"/>
      <c r="AU9" s="39"/>
    </row>
    <row r="10" ht="15.75" customHeight="1" spans="1:49">
      <c r="A10" s="10" t="s">
        <v>614</v>
      </c>
      <c r="B10" s="11" t="s">
        <v>607</v>
      </c>
      <c r="C10" s="16">
        <v>1</v>
      </c>
      <c r="D10" s="16" t="s">
        <v>563</v>
      </c>
      <c r="E10" s="13" t="s">
        <v>563</v>
      </c>
      <c r="F10" s="11" t="s">
        <v>615</v>
      </c>
      <c r="G10" s="13" t="s">
        <v>595</v>
      </c>
      <c r="H10" s="16" t="str">
        <f>'Malla base'!H10</f>
        <v>Ea</v>
      </c>
      <c r="I10" s="40" t="s">
        <v>607</v>
      </c>
      <c r="J10" s="15" t="s">
        <v>616</v>
      </c>
      <c r="K10" s="13" t="s">
        <v>595</v>
      </c>
      <c r="L10" s="16" t="str">
        <f>'ICI Malla'!L10</f>
        <v>Ia</v>
      </c>
      <c r="M10" s="13" t="s">
        <v>597</v>
      </c>
      <c r="N10" s="15" t="s">
        <v>617</v>
      </c>
      <c r="O10" s="13" t="s">
        <v>565</v>
      </c>
      <c r="P10" s="16" t="s">
        <v>563</v>
      </c>
      <c r="Q10" s="13" t="s">
        <v>618</v>
      </c>
      <c r="R10" s="15" t="s">
        <v>619</v>
      </c>
      <c r="S10" s="13" t="s">
        <v>565</v>
      </c>
      <c r="T10" s="13"/>
      <c r="U10" s="13"/>
      <c r="V10" s="15" t="s">
        <v>620</v>
      </c>
      <c r="W10" s="13" t="s">
        <v>565</v>
      </c>
      <c r="X10" s="13"/>
      <c r="Y10" s="13" t="s">
        <v>718</v>
      </c>
      <c r="Z10" s="15" t="s">
        <v>621</v>
      </c>
      <c r="AA10" s="13" t="s">
        <v>565</v>
      </c>
      <c r="AB10" s="13"/>
      <c r="AC10" s="13"/>
      <c r="AD10" s="15" t="s">
        <v>622</v>
      </c>
      <c r="AE10" s="13" t="s">
        <v>565</v>
      </c>
      <c r="AF10" s="13"/>
      <c r="AG10" s="13" t="s">
        <v>589</v>
      </c>
      <c r="AH10" s="18"/>
      <c r="AI10" s="15" t="s">
        <v>623</v>
      </c>
      <c r="AJ10" s="13" t="s">
        <v>565</v>
      </c>
      <c r="AK10" s="13"/>
      <c r="AL10" s="13" t="s">
        <v>604</v>
      </c>
      <c r="AM10" s="15" t="s">
        <v>624</v>
      </c>
      <c r="AN10" s="13" t="s">
        <v>565</v>
      </c>
      <c r="AO10" s="13"/>
      <c r="AP10" s="13" t="s">
        <v>591</v>
      </c>
      <c r="AU10" s="41"/>
    </row>
    <row r="11" s="1" customFormat="1" ht="46.5" customHeight="1" spans="1:49">
      <c r="A11" s="20"/>
      <c r="B11" s="42" t="s">
        <v>49</v>
      </c>
      <c r="C11" s="43"/>
      <c r="D11" s="43"/>
      <c r="E11" s="44"/>
      <c r="F11" s="21" t="s">
        <v>67</v>
      </c>
      <c r="G11" s="22"/>
      <c r="H11" s="22"/>
      <c r="I11" s="23"/>
      <c r="J11" s="24" t="s">
        <v>85</v>
      </c>
      <c r="K11" s="25"/>
      <c r="L11" s="25"/>
      <c r="M11" s="26"/>
      <c r="N11" s="24" t="s">
        <v>97</v>
      </c>
      <c r="O11" s="25"/>
      <c r="P11" s="25"/>
      <c r="Q11" s="26"/>
      <c r="R11" s="45" t="s">
        <v>625</v>
      </c>
      <c r="S11" s="46"/>
      <c r="T11" s="46"/>
      <c r="U11" s="47"/>
      <c r="V11" s="27" t="s">
        <v>139</v>
      </c>
      <c r="W11" s="28"/>
      <c r="X11" s="28"/>
      <c r="Y11" s="29"/>
      <c r="Z11" s="45" t="s">
        <v>625</v>
      </c>
      <c r="AA11" s="46"/>
      <c r="AB11" s="46"/>
      <c r="AC11" s="47"/>
      <c r="AD11" s="27" t="s">
        <v>166</v>
      </c>
      <c r="AE11" s="28"/>
      <c r="AF11" s="28"/>
      <c r="AG11" s="29"/>
      <c r="AI11" s="30" t="s">
        <v>189</v>
      </c>
      <c r="AJ11" s="31"/>
      <c r="AK11" s="31"/>
      <c r="AL11" s="32"/>
      <c r="AM11" s="30" t="s">
        <v>210</v>
      </c>
      <c r="AN11" s="31"/>
      <c r="AO11" s="31"/>
      <c r="AP11" s="32"/>
      <c r="AU11" s="39"/>
    </row>
    <row r="12" ht="16.35" customHeight="1" spans="1:49">
      <c r="A12" s="10" t="s">
        <v>627</v>
      </c>
      <c r="B12" s="11" t="s">
        <v>595</v>
      </c>
      <c r="C12" s="16">
        <v>3</v>
      </c>
      <c r="D12" s="16"/>
      <c r="E12" s="13" t="s">
        <v>563</v>
      </c>
      <c r="F12"/>
      <c r="G12"/>
      <c r="H12" s="100"/>
      <c r="I12"/>
      <c r="N12" s="15" t="s">
        <v>628</v>
      </c>
      <c r="O12" s="13" t="s">
        <v>629</v>
      </c>
      <c r="P12" s="16"/>
      <c r="Q12" s="13" t="s">
        <v>652</v>
      </c>
      <c r="V12" s="15" t="s">
        <v>630</v>
      </c>
      <c r="W12" s="13" t="s">
        <v>565</v>
      </c>
      <c r="X12" s="13"/>
      <c r="Y12" s="13"/>
      <c r="Z12" s="15" t="s">
        <v>631</v>
      </c>
      <c r="AA12" s="13" t="s">
        <v>565</v>
      </c>
      <c r="AB12" s="13" t="s">
        <v>632</v>
      </c>
      <c r="AC12" s="17" t="s">
        <v>633</v>
      </c>
      <c r="AH12" s="18"/>
      <c r="AI12" s="15" t="s">
        <v>634</v>
      </c>
      <c r="AJ12" s="13" t="s">
        <v>565</v>
      </c>
      <c r="AK12" s="13"/>
      <c r="AL12" s="13"/>
      <c r="AM12" s="15" t="s">
        <v>635</v>
      </c>
      <c r="AN12" s="13" t="s">
        <v>565</v>
      </c>
      <c r="AO12" s="13"/>
      <c r="AP12" s="13"/>
      <c r="AU12" s="41"/>
    </row>
    <row r="13" s="1" customFormat="1" ht="49.5" customHeight="1" spans="1:49">
      <c r="A13" s="20"/>
      <c r="B13" s="48" t="s">
        <v>59</v>
      </c>
      <c r="C13" s="49"/>
      <c r="D13" s="49"/>
      <c r="E13" s="50"/>
      <c r="F13" s="51"/>
      <c r="G13" s="51"/>
      <c r="H13" s="101"/>
      <c r="I13" s="51"/>
      <c r="L13" s="52"/>
      <c r="N13" s="53" t="s">
        <v>101</v>
      </c>
      <c r="O13" s="54"/>
      <c r="P13" s="54"/>
      <c r="Q13" s="55"/>
      <c r="V13" s="45" t="s">
        <v>625</v>
      </c>
      <c r="W13" s="46"/>
      <c r="X13" s="46"/>
      <c r="Y13" s="47"/>
      <c r="Z13" s="56" t="s">
        <v>426</v>
      </c>
      <c r="AA13" s="57"/>
      <c r="AB13" s="57"/>
      <c r="AC13" s="58"/>
      <c r="AI13" s="33" t="s">
        <v>719</v>
      </c>
      <c r="AJ13" s="34"/>
      <c r="AK13" s="34"/>
      <c r="AL13" s="35"/>
      <c r="AM13" s="33" t="s">
        <v>719</v>
      </c>
      <c r="AN13" s="34"/>
      <c r="AO13" s="34"/>
      <c r="AP13" s="35"/>
      <c r="AU13" s="39"/>
    </row>
    <row r="14" customHeight="1" spans="1:49">
      <c r="A14" s="59" t="s">
        <v>636</v>
      </c>
      <c r="B14" s="11" t="s">
        <v>565</v>
      </c>
      <c r="C14" s="12">
        <v>3</v>
      </c>
      <c r="D14" s="16" t="s">
        <v>563</v>
      </c>
      <c r="E14" s="13" t="s">
        <v>563</v>
      </c>
      <c r="F14" s="11" t="s">
        <v>637</v>
      </c>
      <c r="G14" s="13" t="s">
        <v>629</v>
      </c>
      <c r="H14" s="16" t="s">
        <v>563</v>
      </c>
      <c r="I14" s="13" t="s">
        <v>565</v>
      </c>
      <c r="J14" s="15" t="s">
        <v>610</v>
      </c>
      <c r="K14" s="13" t="s">
        <v>629</v>
      </c>
      <c r="L14" s="16" t="s">
        <v>563</v>
      </c>
      <c r="M14" s="13" t="s">
        <v>637</v>
      </c>
      <c r="N14" s="15" t="s">
        <v>638</v>
      </c>
      <c r="O14" s="13" t="s">
        <v>607</v>
      </c>
      <c r="P14" s="16" t="s">
        <v>563</v>
      </c>
      <c r="Q14" s="13" t="s">
        <v>563</v>
      </c>
      <c r="R14" s="15" t="s">
        <v>639</v>
      </c>
      <c r="S14" s="13" t="s">
        <v>629</v>
      </c>
      <c r="T14" s="13" t="s">
        <v>563</v>
      </c>
      <c r="U14" s="13" t="s">
        <v>628</v>
      </c>
      <c r="V14" s="60"/>
      <c r="W14" s="60"/>
      <c r="X14" s="60"/>
      <c r="Y14" s="60"/>
      <c r="Z14" s="61"/>
      <c r="AA14" s="62"/>
      <c r="AB14" s="62"/>
      <c r="AC14" s="63"/>
      <c r="AD14" s="15" t="s">
        <v>640</v>
      </c>
      <c r="AE14" s="13" t="s">
        <v>629</v>
      </c>
      <c r="AF14" s="13" t="s">
        <v>563</v>
      </c>
      <c r="AG14" s="13" t="s">
        <v>563</v>
      </c>
      <c r="AI14" s="60"/>
      <c r="AJ14" s="60"/>
      <c r="AK14" s="60"/>
      <c r="AL14" s="60"/>
      <c r="AM14" s="15" t="s">
        <v>641</v>
      </c>
      <c r="AN14" s="13" t="s">
        <v>642</v>
      </c>
      <c r="AO14" s="13" t="s">
        <v>156</v>
      </c>
      <c r="AP14" s="13" t="s">
        <v>675</v>
      </c>
      <c r="AU14" s="60"/>
    </row>
    <row r="15" ht="46.5" customHeight="1" spans="1:49">
      <c r="A15" s="20"/>
      <c r="B15" s="64" t="s">
        <v>645</v>
      </c>
      <c r="C15" s="65"/>
      <c r="D15" s="65"/>
      <c r="E15" s="66"/>
      <c r="F15" s="67" t="s">
        <v>646</v>
      </c>
      <c r="G15" s="68"/>
      <c r="H15" s="68"/>
      <c r="I15" s="69"/>
      <c r="J15" s="53" t="s">
        <v>647</v>
      </c>
      <c r="K15" s="54"/>
      <c r="L15" s="54"/>
      <c r="M15" s="55"/>
      <c r="N15" s="53" t="s">
        <v>648</v>
      </c>
      <c r="O15" s="54"/>
      <c r="P15" s="54"/>
      <c r="Q15" s="55"/>
      <c r="R15" s="67" t="s">
        <v>320</v>
      </c>
      <c r="S15" s="68"/>
      <c r="T15" s="68"/>
      <c r="U15" s="69"/>
      <c r="V15" s="70"/>
      <c r="W15" s="70"/>
      <c r="X15" s="70"/>
      <c r="Z15" s="70"/>
      <c r="AA15" s="70"/>
      <c r="AB15" s="70"/>
      <c r="AC15" s="71"/>
      <c r="AD15" s="72" t="s">
        <v>649</v>
      </c>
      <c r="AE15" s="73"/>
      <c r="AF15" s="73"/>
      <c r="AG15" s="74"/>
      <c r="AM15" s="75" t="s">
        <v>650</v>
      </c>
      <c r="AN15" s="76"/>
      <c r="AO15" s="76"/>
      <c r="AP15" s="77"/>
    </row>
    <row r="16" ht="16.35" customHeight="1" spans="1:49">
      <c r="A16" s="10" t="s">
        <v>651</v>
      </c>
      <c r="B16" s="11" t="s">
        <v>652</v>
      </c>
      <c r="C16" s="16">
        <v>3</v>
      </c>
      <c r="D16" s="16" t="s">
        <v>563</v>
      </c>
      <c r="E16" s="13" t="s">
        <v>563</v>
      </c>
      <c r="F16" s="11" t="s">
        <v>653</v>
      </c>
      <c r="G16" s="12">
        <v>3</v>
      </c>
      <c r="H16" s="16" t="s">
        <v>563</v>
      </c>
      <c r="I16" s="13" t="s">
        <v>563</v>
      </c>
      <c r="J16" s="15" t="s">
        <v>654</v>
      </c>
      <c r="K16" s="13" t="s">
        <v>607</v>
      </c>
      <c r="L16" s="16" t="s">
        <v>563</v>
      </c>
      <c r="M16" s="13" t="s">
        <v>563</v>
      </c>
      <c r="N16" s="60"/>
      <c r="O16" s="60"/>
      <c r="P16" s="78"/>
      <c r="Q16" s="60"/>
      <c r="R16" s="15" t="s">
        <v>655</v>
      </c>
      <c r="S16" s="13" t="s">
        <v>607</v>
      </c>
      <c r="T16" s="13" t="s">
        <v>563</v>
      </c>
      <c r="U16" s="13" t="s">
        <v>563</v>
      </c>
      <c r="V16" s="60"/>
      <c r="W16" s="60"/>
      <c r="X16" s="60"/>
      <c r="Z16" s="60"/>
      <c r="AA16" s="60"/>
      <c r="AB16" s="60"/>
      <c r="AC16" s="60"/>
      <c r="AD16" s="60"/>
      <c r="AE16" s="60"/>
      <c r="AF16" s="60"/>
    </row>
    <row r="17" ht="46.5" customHeight="1" spans="1:47">
      <c r="A17" s="20"/>
      <c r="B17" s="67" t="s">
        <v>46</v>
      </c>
      <c r="C17" s="68"/>
      <c r="D17" s="68"/>
      <c r="E17" s="69"/>
      <c r="F17" s="79" t="s">
        <v>649</v>
      </c>
      <c r="G17" s="80"/>
      <c r="H17" s="80"/>
      <c r="I17" s="81"/>
      <c r="J17" s="53" t="s">
        <v>648</v>
      </c>
      <c r="K17" s="54"/>
      <c r="L17" s="54"/>
      <c r="M17" s="55"/>
      <c r="N17" s="70"/>
      <c r="O17" s="70"/>
      <c r="P17" s="82"/>
      <c r="Q17" s="70"/>
      <c r="R17" s="53" t="s">
        <v>648</v>
      </c>
      <c r="S17" s="54"/>
      <c r="T17" s="54"/>
      <c r="U17" s="55"/>
      <c r="V17" s="70"/>
      <c r="X17" s="82"/>
      <c r="Y17" s="70"/>
      <c r="Z17" s="3"/>
      <c r="AA17" s="3"/>
      <c r="AB17" s="3"/>
      <c r="AC17" s="82"/>
      <c r="AD17" s="82"/>
      <c r="AE17" s="82"/>
      <c r="AF17" s="82"/>
      <c r="AG17" s="3"/>
      <c r="AH17" s="3"/>
      <c r="AI17" s="3" t="s">
        <v>656</v>
      </c>
      <c r="AJ17" s="3"/>
      <c r="AK17" s="3"/>
      <c r="AL17" s="3"/>
      <c r="AM17" s="3"/>
      <c r="AN17" s="3"/>
      <c r="AP17" s="3"/>
      <c r="AQ17" s="3"/>
      <c r="AR17" s="3"/>
      <c r="AS17" s="3"/>
    </row>
    <row r="18" customHeight="1" spans="1:47">
      <c r="A18" s="83"/>
      <c r="B18" s="60"/>
      <c r="C18" s="60"/>
      <c r="D18" s="78"/>
      <c r="E18" s="60"/>
      <c r="F18" s="60"/>
      <c r="G18" s="60"/>
      <c r="H18" s="78"/>
      <c r="I18" s="60"/>
      <c r="J18" s="60"/>
      <c r="K18" s="60"/>
      <c r="L18" s="78"/>
      <c r="M18" s="60"/>
      <c r="N18" s="60"/>
      <c r="O18" s="60"/>
      <c r="P18" s="78"/>
      <c r="Q18" s="60"/>
      <c r="R18" s="60"/>
      <c r="S18" s="60"/>
      <c r="T18" s="60"/>
      <c r="U18" s="60"/>
      <c r="V18" s="60"/>
      <c r="W18" s="60"/>
      <c r="X18" s="84" t="s">
        <v>657</v>
      </c>
      <c r="Y18" s="16" t="s">
        <v>637</v>
      </c>
      <c r="Z18" s="16" t="str">
        <f>'Malla base'!Z18</f>
        <v>Ic(Ea)</v>
      </c>
      <c r="AA18" s="85" t="s">
        <v>658</v>
      </c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84">
        <v>59</v>
      </c>
      <c r="AP18" s="16" t="s">
        <v>637</v>
      </c>
      <c r="AQ18" s="16" t="str">
        <f>'Malla base'!AQ18</f>
        <v>Ic(Eb, Ob)</v>
      </c>
      <c r="AR18" s="85" t="s">
        <v>660</v>
      </c>
      <c r="AS18" s="3"/>
    </row>
    <row r="19" ht="38.1" customHeight="1" spans="1:47">
      <c r="A19" s="86"/>
      <c r="B19" s="86"/>
      <c r="C19" s="86"/>
      <c r="D19" s="87"/>
      <c r="E19" s="11" t="s">
        <v>549</v>
      </c>
      <c r="F19" s="13" t="s">
        <v>661</v>
      </c>
      <c r="G19" s="13"/>
      <c r="H19" s="17"/>
      <c r="I19" s="86"/>
      <c r="J19" s="86"/>
      <c r="K19" s="86"/>
      <c r="L19" s="87"/>
      <c r="M19" s="86"/>
      <c r="N19" s="86"/>
      <c r="O19" s="86"/>
      <c r="P19" s="87"/>
      <c r="Q19" s="86"/>
      <c r="R19" s="86"/>
      <c r="S19" s="86"/>
      <c r="T19" s="86"/>
      <c r="U19" s="86"/>
      <c r="V19" s="86"/>
      <c r="W19" s="86"/>
      <c r="X19" s="75" t="s">
        <v>447</v>
      </c>
      <c r="Y19" s="76"/>
      <c r="Z19" s="76"/>
      <c r="AA19" s="77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75" t="s">
        <v>463</v>
      </c>
      <c r="AP19" s="76"/>
      <c r="AQ19" s="76"/>
      <c r="AR19" s="77"/>
      <c r="AS19" s="86"/>
      <c r="AT19" s="86"/>
      <c r="AU19" s="86"/>
    </row>
    <row r="20" ht="38.1" customHeight="1" spans="1:47">
      <c r="A20" s="86"/>
      <c r="B20" s="86"/>
      <c r="C20" s="86"/>
      <c r="D20" s="87"/>
      <c r="E20" s="88" t="s">
        <v>662</v>
      </c>
      <c r="F20" s="89"/>
      <c r="G20" s="89"/>
      <c r="H20" s="90"/>
      <c r="I20" s="86"/>
      <c r="J20" s="86"/>
      <c r="K20" s="86"/>
      <c r="L20" s="87"/>
      <c r="M20" s="86"/>
      <c r="N20" s="86"/>
      <c r="O20" s="86"/>
      <c r="P20" s="87"/>
      <c r="Q20" s="86"/>
      <c r="R20" s="86"/>
      <c r="S20" s="86"/>
      <c r="T20" s="86"/>
      <c r="U20" s="86"/>
      <c r="V20" s="86"/>
      <c r="W20" s="86"/>
      <c r="X20" s="70"/>
      <c r="Y20" s="70"/>
      <c r="Z20" s="70"/>
      <c r="AA20" s="70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70"/>
      <c r="AP20" s="70"/>
      <c r="AQ20" s="70"/>
      <c r="AR20" s="70"/>
      <c r="AS20" s="86"/>
      <c r="AT20" s="86"/>
      <c r="AU20" s="86"/>
    </row>
    <row r="21" ht="38.1" customHeight="1" spans="1:47">
      <c r="A21" s="86"/>
      <c r="B21" s="86"/>
      <c r="C21" s="86"/>
      <c r="D21" s="87"/>
      <c r="E21" s="86"/>
      <c r="F21" s="86"/>
      <c r="G21" s="86"/>
      <c r="H21" s="87"/>
      <c r="I21" s="86"/>
      <c r="J21" s="86"/>
      <c r="K21" s="86"/>
      <c r="L21" s="87"/>
      <c r="M21" s="86"/>
      <c r="N21" s="86"/>
      <c r="O21" s="86"/>
      <c r="P21" s="87"/>
      <c r="Q21" s="86"/>
      <c r="R21" s="86"/>
      <c r="S21" s="86"/>
      <c r="T21" s="86"/>
      <c r="U21" s="86"/>
      <c r="V21" s="86"/>
      <c r="W21" s="86"/>
      <c r="X21" s="70"/>
      <c r="Y21" s="70"/>
      <c r="Z21" s="70"/>
      <c r="AA21" s="70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70"/>
      <c r="AP21" s="70"/>
      <c r="AQ21" s="70"/>
      <c r="AR21" s="70"/>
      <c r="AS21" s="86"/>
      <c r="AT21" s="86"/>
      <c r="AU21" s="86"/>
    </row>
    <row r="22" ht="15.75" spans="1:47">
      <c r="B22" s="15" t="s">
        <v>663</v>
      </c>
      <c r="C22" s="13" t="s">
        <v>664</v>
      </c>
      <c r="D22" s="16" t="s">
        <v>665</v>
      </c>
      <c r="E22" s="13" t="s">
        <v>666</v>
      </c>
    </row>
    <row r="23" ht="42" customHeight="1" spans="1:47">
      <c r="B23" s="91" t="s">
        <v>667</v>
      </c>
      <c r="C23" s="92"/>
      <c r="D23" s="92"/>
      <c r="E23" s="93"/>
      <c r="V23" s="104"/>
    </row>
    <row r="25" ht="18" customHeight="1" spans="1:47">
      <c r="B25" s="102"/>
      <c r="C25" s="102"/>
      <c r="D25" s="103"/>
      <c r="E25" s="102"/>
    </row>
    <row r="26" spans="1:47">
      <c r="B26" s="94" t="s">
        <v>556</v>
      </c>
      <c r="C26" s="94"/>
      <c r="D26" s="94"/>
      <c r="E26" s="94"/>
      <c r="F26" s="94"/>
      <c r="G26" s="94"/>
      <c r="H26" s="94"/>
      <c r="I26" s="95"/>
      <c r="J26" s="96" t="s">
        <v>557</v>
      </c>
      <c r="K26" s="96"/>
      <c r="L26" s="96"/>
      <c r="M26" s="96"/>
      <c r="N26" s="96"/>
      <c r="O26" s="96"/>
      <c r="P26" s="96"/>
      <c r="Q26" s="97"/>
      <c r="R26" s="96" t="s">
        <v>558</v>
      </c>
      <c r="S26" s="96"/>
      <c r="T26" s="96"/>
      <c r="U26" s="96"/>
      <c r="V26" s="96"/>
      <c r="W26" s="96"/>
      <c r="X26" s="96"/>
      <c r="Y26" s="97"/>
      <c r="Z26" s="96" t="s">
        <v>559</v>
      </c>
      <c r="AA26" s="96"/>
      <c r="AB26" s="96"/>
      <c r="AC26" s="96"/>
      <c r="AD26" s="96"/>
      <c r="AE26" s="96"/>
      <c r="AF26" s="96"/>
      <c r="AG26" s="96"/>
      <c r="AI26" s="96" t="s">
        <v>560</v>
      </c>
      <c r="AJ26" s="96"/>
      <c r="AK26" s="96"/>
      <c r="AL26" s="96"/>
      <c r="AM26" s="96"/>
      <c r="AN26" s="96"/>
      <c r="AO26" s="96"/>
      <c r="AP26" s="97"/>
      <c r="AQ26" s="96" t="s">
        <v>561</v>
      </c>
      <c r="AR26" s="96"/>
      <c r="AS26" s="96"/>
      <c r="AT26" s="96"/>
    </row>
    <row r="27" ht="14.45" customHeight="1" spans="1:47">
      <c r="B27" s="98">
        <f>C4+C6+C8+C10+C12+C14+C16+G4+G6+G8+G10+G14+G16</f>
        <v>59</v>
      </c>
      <c r="C27" s="99"/>
      <c r="D27" s="99"/>
      <c r="E27" s="99"/>
      <c r="F27" s="99"/>
      <c r="G27" s="99"/>
      <c r="H27" s="99"/>
      <c r="I27" s="99"/>
      <c r="J27" s="98">
        <f>K4+K6+K8+K10+K14+K16+O4+O6+O8+O10+O12+O14</f>
        <v>60</v>
      </c>
      <c r="K27" s="99"/>
      <c r="L27" s="99"/>
      <c r="M27" s="99"/>
      <c r="N27" s="99"/>
      <c r="O27" s="99"/>
      <c r="P27" s="99"/>
      <c r="Q27" s="99"/>
      <c r="R27" s="106" t="s">
        <v>593</v>
      </c>
      <c r="S27" s="107"/>
      <c r="T27" s="107"/>
      <c r="U27" s="107"/>
      <c r="V27" s="107"/>
      <c r="W27" s="107"/>
      <c r="X27" s="107"/>
      <c r="Y27" s="108"/>
      <c r="Z27" s="98">
        <f>AA4+AA6+AA8+AA10+AA12+AA14+AE4+AE6+AE8+AE10+AE14</f>
        <v>60</v>
      </c>
      <c r="AA27" s="99"/>
      <c r="AB27" s="99"/>
      <c r="AC27" s="99"/>
      <c r="AD27" s="99"/>
      <c r="AE27" s="99"/>
      <c r="AF27" s="99"/>
      <c r="AG27" s="99"/>
      <c r="AI27" s="98">
        <f>AJ4+AJ6+AJ8+AJ10+AJ12+AN4+AN6+AN8+AN10+AN12+AN14+AP18</f>
        <v>72</v>
      </c>
      <c r="AJ27" s="99"/>
      <c r="AK27" s="99"/>
      <c r="AL27" s="99"/>
      <c r="AM27" s="99"/>
      <c r="AN27" s="99"/>
      <c r="AO27" s="99"/>
      <c r="AP27" s="99"/>
      <c r="AQ27" s="98">
        <f>AR4+AR6+AR8</f>
        <v>30</v>
      </c>
      <c r="AR27" s="99"/>
      <c r="AS27" s="99"/>
      <c r="AT27" s="99"/>
    </row>
  </sheetData>
  <mergeCells count="101">
    <mergeCell ref="B2:I2"/>
    <mergeCell ref="J2:Q2"/>
    <mergeCell ref="R2:Y2"/>
    <mergeCell ref="Z2:AG2"/>
    <mergeCell ref="AI2:AP2"/>
    <mergeCell ref="AQ2:AT2"/>
    <mergeCell ref="B3:E3"/>
    <mergeCell ref="F3:I3"/>
    <mergeCell ref="J3:M3"/>
    <mergeCell ref="N3:Q3"/>
    <mergeCell ref="R3:U3"/>
    <mergeCell ref="V3:Y3"/>
    <mergeCell ref="Z3:AC3"/>
    <mergeCell ref="AD3:AG3"/>
    <mergeCell ref="AI3:AL3"/>
    <mergeCell ref="AM3:AP3"/>
    <mergeCell ref="AQ3:AT3"/>
    <mergeCell ref="B5:E5"/>
    <mergeCell ref="F5:I5"/>
    <mergeCell ref="J5:M5"/>
    <mergeCell ref="N5:Q5"/>
    <mergeCell ref="R5:U5"/>
    <mergeCell ref="V5:Y5"/>
    <mergeCell ref="Z5:AC5"/>
    <mergeCell ref="AD5:AG5"/>
    <mergeCell ref="AI5:AL5"/>
    <mergeCell ref="AM5:AP5"/>
    <mergeCell ref="AQ5:AT5"/>
    <mergeCell ref="B7:E7"/>
    <mergeCell ref="F7:I7"/>
    <mergeCell ref="J7:M7"/>
    <mergeCell ref="N7:Q7"/>
    <mergeCell ref="R7:U7"/>
    <mergeCell ref="V7:Y7"/>
    <mergeCell ref="Z7:AC7"/>
    <mergeCell ref="AD7:AG7"/>
    <mergeCell ref="AI7:AL7"/>
    <mergeCell ref="AM7:AP7"/>
    <mergeCell ref="AQ7:AT7"/>
    <mergeCell ref="B9:E9"/>
    <mergeCell ref="F9:I9"/>
    <mergeCell ref="J9:M9"/>
    <mergeCell ref="N9:Q9"/>
    <mergeCell ref="R9:U9"/>
    <mergeCell ref="V9:Y9"/>
    <mergeCell ref="Z9:AC9"/>
    <mergeCell ref="AD9:AG9"/>
    <mergeCell ref="AI9:AL9"/>
    <mergeCell ref="AM9:AP9"/>
    <mergeCell ref="AQ9:AT9"/>
    <mergeCell ref="B11:E11"/>
    <mergeCell ref="F11:I11"/>
    <mergeCell ref="J11:M11"/>
    <mergeCell ref="N11:Q11"/>
    <mergeCell ref="R11:U11"/>
    <mergeCell ref="V11:Y11"/>
    <mergeCell ref="Z11:AC11"/>
    <mergeCell ref="AD11:AG11"/>
    <mergeCell ref="AI11:AL11"/>
    <mergeCell ref="AM11:AP11"/>
    <mergeCell ref="B13:E13"/>
    <mergeCell ref="N13:Q13"/>
    <mergeCell ref="V13:Y13"/>
    <mergeCell ref="Z13:AC13"/>
    <mergeCell ref="AI13:AL13"/>
    <mergeCell ref="AM13:AP13"/>
    <mergeCell ref="B15:E15"/>
    <mergeCell ref="F15:I15"/>
    <mergeCell ref="J15:M15"/>
    <mergeCell ref="N15:Q15"/>
    <mergeCell ref="R15:U15"/>
    <mergeCell ref="Z15:AC15"/>
    <mergeCell ref="AD15:AG15"/>
    <mergeCell ref="AM15:AP15"/>
    <mergeCell ref="B17:E17"/>
    <mergeCell ref="F17:I17"/>
    <mergeCell ref="J17:M17"/>
    <mergeCell ref="R17:U17"/>
    <mergeCell ref="X19:AA19"/>
    <mergeCell ref="AO19:AR19"/>
    <mergeCell ref="E20:H20"/>
    <mergeCell ref="B23:E23"/>
    <mergeCell ref="B26:I26"/>
    <mergeCell ref="J26:Q26"/>
    <mergeCell ref="R26:Y26"/>
    <mergeCell ref="Z26:AG26"/>
    <mergeCell ref="AI26:AP26"/>
    <mergeCell ref="AQ26:AT26"/>
    <mergeCell ref="B27:I27"/>
    <mergeCell ref="J27:Q27"/>
    <mergeCell ref="R27:Y27"/>
    <mergeCell ref="Z27:AG27"/>
    <mergeCell ref="AI27:AP27"/>
    <mergeCell ref="AQ27:AT27"/>
    <mergeCell ref="A4:A5"/>
    <mergeCell ref="A6:A7"/>
    <mergeCell ref="A8:A9"/>
    <mergeCell ref="A10:A11"/>
    <mergeCell ref="A12:A13"/>
    <mergeCell ref="A14:A15"/>
    <mergeCell ref="A16:A17"/>
  </mergeCells>
  <pageMargins left="0.75" right="0.75" top="1" bottom="1" header="0.5" footer="0.5"/>
  <pageSetup paperSize="1" orientation="portrait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6600"/>
  </sheetPr>
  <dimension ref="A1:AU25"/>
  <sheetViews>
    <sheetView zoomScale="70" zoomScaleNormal="70" workbookViewId="0">
      <selection activeCell="AG21" sqref="AG21"/>
    </sheetView>
  </sheetViews>
  <sheetFormatPr defaultColWidth="10.8571428571429" defaultRowHeight="15"/>
  <cols>
    <col min="1" max="1" width="10.8571428571429" style="2"/>
    <col min="2" max="2" width="3.42857142857143" style="2" customWidth="1"/>
    <col min="3" max="3" width="5.42857142857143" style="2" customWidth="1"/>
    <col min="4" max="4" width="5.42857142857143" style="3" customWidth="1"/>
    <col min="5" max="5" width="5.42857142857143" style="2" customWidth="1"/>
    <col min="6" max="6" width="3.42857142857143" style="2" customWidth="1"/>
    <col min="7" max="7" width="5.42857142857143" style="2" customWidth="1"/>
    <col min="8" max="8" width="5.42857142857143" style="3" customWidth="1"/>
    <col min="9" max="9" width="5.42857142857143" style="2" customWidth="1"/>
    <col min="10" max="10" width="3.42857142857143" style="2" customWidth="1"/>
    <col min="11" max="11" width="5.42857142857143" style="2" customWidth="1"/>
    <col min="12" max="12" width="5.42857142857143" style="3" customWidth="1"/>
    <col min="13" max="13" width="5.42857142857143" style="2" customWidth="1"/>
    <col min="14" max="14" width="3.42857142857143" style="2" customWidth="1"/>
    <col min="15" max="15" width="5.42857142857143" style="2" customWidth="1"/>
    <col min="16" max="16" width="5.42857142857143" style="3" customWidth="1"/>
    <col min="17" max="17" width="7.42857142857143" style="2" customWidth="1"/>
    <col min="18" max="18" width="3.42857142857143" style="2" customWidth="1"/>
    <col min="19" max="21" width="5.42857142857143" style="2" customWidth="1"/>
    <col min="22" max="22" width="3.42857142857143" style="2" customWidth="1"/>
    <col min="23" max="25" width="5.42857142857143" style="2" customWidth="1"/>
    <col min="26" max="26" width="5" style="2" customWidth="1"/>
    <col min="27" max="29" width="5.42857142857143" style="2" customWidth="1"/>
    <col min="30" max="30" width="3.42857142857143" style="2" customWidth="1"/>
    <col min="31" max="32" width="5.42857142857143" style="2" customWidth="1"/>
    <col min="33" max="33" width="7" style="2" customWidth="1"/>
    <col min="34" max="34" width="5.42857142857143" style="2" customWidth="1"/>
    <col min="35" max="35" width="3.42857142857143" style="2" customWidth="1"/>
    <col min="36" max="36" width="5.42857142857143" style="2" customWidth="1"/>
    <col min="37" max="37" width="7.42857142857143" style="2" customWidth="1"/>
    <col min="38" max="38" width="5.42857142857143" style="2" customWidth="1"/>
    <col min="39" max="39" width="4.14285714285714" style="2" customWidth="1"/>
    <col min="40" max="41" width="5.42857142857143" style="2" customWidth="1"/>
    <col min="42" max="42" width="10.2857142857143" style="2" customWidth="1"/>
    <col min="43" max="43" width="8.42857142857143" style="2" customWidth="1"/>
    <col min="44" max="44" width="5.42857142857143" style="2" customWidth="1"/>
    <col min="45" max="45" width="5.85714285714286" style="2" customWidth="1"/>
    <col min="46" max="46" width="5.42857142857143" style="2" customWidth="1"/>
    <col min="47" max="47" width="3" style="2" customWidth="1"/>
    <col min="48" max="48" width="3.42857142857143" style="2" customWidth="1"/>
    <col min="49" max="51" width="5.42857142857143" style="2" customWidth="1"/>
    <col min="52" max="16384" width="10.8571428571429" style="2"/>
  </cols>
  <sheetData>
    <row r="1" ht="15.75"/>
    <row r="2" ht="15.75" spans="1:47">
      <c r="B2" s="5" t="s">
        <v>556</v>
      </c>
      <c r="C2" s="5"/>
      <c r="D2" s="5"/>
      <c r="E2" s="5"/>
      <c r="F2" s="5"/>
      <c r="G2" s="5"/>
      <c r="H2" s="5"/>
      <c r="I2" s="5"/>
      <c r="J2" s="6" t="s">
        <v>557</v>
      </c>
      <c r="K2" s="7"/>
      <c r="L2" s="7"/>
      <c r="M2" s="7"/>
      <c r="N2" s="7"/>
      <c r="O2" s="7"/>
      <c r="P2" s="7"/>
      <c r="Q2" s="8"/>
      <c r="R2" s="5" t="s">
        <v>558</v>
      </c>
      <c r="S2" s="5"/>
      <c r="T2" s="5"/>
      <c r="U2" s="5"/>
      <c r="V2" s="5"/>
      <c r="W2" s="5"/>
      <c r="X2" s="5"/>
      <c r="Y2" s="5"/>
      <c r="Z2" s="6" t="s">
        <v>559</v>
      </c>
      <c r="AA2" s="7"/>
      <c r="AB2" s="7"/>
      <c r="AC2" s="7"/>
      <c r="AD2" s="7"/>
      <c r="AE2" s="7"/>
      <c r="AF2" s="7"/>
      <c r="AG2" s="8"/>
      <c r="AI2" s="5" t="s">
        <v>560</v>
      </c>
      <c r="AJ2" s="5"/>
      <c r="AK2" s="5"/>
      <c r="AL2" s="5"/>
      <c r="AM2" s="5"/>
      <c r="AN2" s="5"/>
      <c r="AO2" s="5"/>
      <c r="AP2" s="5"/>
      <c r="AQ2" s="6" t="s">
        <v>561</v>
      </c>
      <c r="AR2" s="7"/>
      <c r="AS2" s="7"/>
      <c r="AT2" s="8"/>
      <c r="AU2" s="9"/>
    </row>
    <row r="3" ht="15.75" spans="1:47">
      <c r="B3" s="6">
        <v>1</v>
      </c>
      <c r="C3" s="7"/>
      <c r="D3" s="7"/>
      <c r="E3" s="8"/>
      <c r="F3" s="6">
        <v>2</v>
      </c>
      <c r="G3" s="7"/>
      <c r="H3" s="7"/>
      <c r="I3" s="8"/>
      <c r="J3" s="6">
        <v>1</v>
      </c>
      <c r="K3" s="7"/>
      <c r="L3" s="7"/>
      <c r="M3" s="8"/>
      <c r="N3" s="6">
        <v>2</v>
      </c>
      <c r="O3" s="7"/>
      <c r="P3" s="7"/>
      <c r="Q3" s="8"/>
      <c r="R3" s="6">
        <v>1</v>
      </c>
      <c r="S3" s="7"/>
      <c r="T3" s="7"/>
      <c r="U3" s="8"/>
      <c r="V3" s="6">
        <v>2</v>
      </c>
      <c r="W3" s="7"/>
      <c r="X3" s="7"/>
      <c r="Y3" s="8"/>
      <c r="Z3" s="6">
        <v>1</v>
      </c>
      <c r="AA3" s="7"/>
      <c r="AB3" s="7"/>
      <c r="AC3" s="8"/>
      <c r="AD3" s="6">
        <v>2</v>
      </c>
      <c r="AE3" s="7"/>
      <c r="AF3" s="7"/>
      <c r="AG3" s="8"/>
      <c r="AI3" s="6">
        <v>1</v>
      </c>
      <c r="AJ3" s="7"/>
      <c r="AK3" s="7"/>
      <c r="AL3" s="8"/>
      <c r="AM3" s="6">
        <v>2</v>
      </c>
      <c r="AN3" s="7"/>
      <c r="AO3" s="7"/>
      <c r="AP3" s="8"/>
      <c r="AQ3" s="6">
        <v>1</v>
      </c>
      <c r="AR3" s="7"/>
      <c r="AS3" s="7"/>
      <c r="AT3" s="8"/>
      <c r="AU3" s="9"/>
    </row>
    <row r="4" ht="15.75" customHeight="1" spans="1:47">
      <c r="A4" s="10" t="s">
        <v>562</v>
      </c>
      <c r="B4" s="11">
        <v>1</v>
      </c>
      <c r="C4" s="12">
        <v>10</v>
      </c>
      <c r="D4" s="16" t="s">
        <v>563</v>
      </c>
      <c r="E4" s="13" t="s">
        <v>563</v>
      </c>
      <c r="F4" s="11" t="s">
        <v>564</v>
      </c>
      <c r="G4" s="13" t="s">
        <v>565</v>
      </c>
      <c r="H4" s="16" t="s">
        <v>563</v>
      </c>
      <c r="I4" s="14" t="s">
        <v>566</v>
      </c>
      <c r="J4" s="15" t="s">
        <v>567</v>
      </c>
      <c r="K4" s="13" t="s">
        <v>565</v>
      </c>
      <c r="L4" s="16" t="s">
        <v>563</v>
      </c>
      <c r="M4" s="13" t="s">
        <v>568</v>
      </c>
      <c r="N4" s="15" t="s">
        <v>569</v>
      </c>
      <c r="O4" s="13" t="s">
        <v>565</v>
      </c>
      <c r="P4" s="16" t="s">
        <v>563</v>
      </c>
      <c r="Q4" s="13" t="s">
        <v>570</v>
      </c>
      <c r="R4" s="15" t="s">
        <v>571</v>
      </c>
      <c r="S4" s="13" t="s">
        <v>565</v>
      </c>
      <c r="T4" s="266" t="s">
        <v>563</v>
      </c>
      <c r="U4" s="13" t="s">
        <v>629</v>
      </c>
      <c r="V4" s="15" t="s">
        <v>572</v>
      </c>
      <c r="W4" s="13" t="s">
        <v>565</v>
      </c>
      <c r="X4" s="266" t="s">
        <v>563</v>
      </c>
      <c r="Y4" s="13" t="s">
        <v>587</v>
      </c>
      <c r="Z4" s="15" t="s">
        <v>573</v>
      </c>
      <c r="AA4" s="13" t="s">
        <v>565</v>
      </c>
      <c r="AB4" s="13" t="s">
        <v>356</v>
      </c>
      <c r="AC4" s="13" t="s">
        <v>602</v>
      </c>
      <c r="AD4" s="15" t="s">
        <v>574</v>
      </c>
      <c r="AE4" s="13" t="s">
        <v>575</v>
      </c>
      <c r="AF4" s="13" t="s">
        <v>386</v>
      </c>
      <c r="AG4" s="17" t="s">
        <v>720</v>
      </c>
      <c r="AH4" s="18"/>
      <c r="AI4" s="15" t="s">
        <v>576</v>
      </c>
      <c r="AJ4" s="13" t="s">
        <v>565</v>
      </c>
      <c r="AK4" s="13" t="s">
        <v>356</v>
      </c>
      <c r="AL4" s="13" t="s">
        <v>622</v>
      </c>
      <c r="AM4" s="15" t="s">
        <v>577</v>
      </c>
      <c r="AN4" s="13" t="s">
        <v>565</v>
      </c>
      <c r="AO4" s="13"/>
      <c r="AP4" s="13" t="s">
        <v>622</v>
      </c>
      <c r="AQ4" s="15" t="s">
        <v>578</v>
      </c>
      <c r="AR4" s="13" t="s">
        <v>565</v>
      </c>
      <c r="AS4" s="17" t="s">
        <v>611</v>
      </c>
      <c r="AT4" s="13" t="s">
        <v>721</v>
      </c>
      <c r="AU4" s="19"/>
    </row>
    <row r="5" s="1" customFormat="1" ht="46.5" customHeight="1" spans="1:47">
      <c r="A5" s="20"/>
      <c r="B5" s="21" t="s">
        <v>37</v>
      </c>
      <c r="C5" s="22"/>
      <c r="D5" s="22"/>
      <c r="E5" s="23"/>
      <c r="F5" s="21" t="s">
        <v>62</v>
      </c>
      <c r="G5" s="22"/>
      <c r="H5" s="22"/>
      <c r="I5" s="23"/>
      <c r="J5" s="24" t="s">
        <v>81</v>
      </c>
      <c r="K5" s="25"/>
      <c r="L5" s="25"/>
      <c r="M5" s="26"/>
      <c r="N5" s="24" t="s">
        <v>104</v>
      </c>
      <c r="O5" s="25"/>
      <c r="P5" s="25"/>
      <c r="Q5" s="26"/>
      <c r="R5" s="27" t="s">
        <v>417</v>
      </c>
      <c r="S5" s="28"/>
      <c r="T5" s="28"/>
      <c r="U5" s="29"/>
      <c r="V5" s="27" t="s">
        <v>518</v>
      </c>
      <c r="W5" s="28"/>
      <c r="X5" s="28"/>
      <c r="Y5" s="29"/>
      <c r="Z5" s="27" t="s">
        <v>354</v>
      </c>
      <c r="AA5" s="28"/>
      <c r="AB5" s="28"/>
      <c r="AC5" s="29"/>
      <c r="AD5" s="27" t="s">
        <v>544</v>
      </c>
      <c r="AE5" s="28"/>
      <c r="AF5" s="28"/>
      <c r="AG5" s="29"/>
      <c r="AI5" s="30" t="s">
        <v>525</v>
      </c>
      <c r="AJ5" s="31"/>
      <c r="AK5" s="31"/>
      <c r="AL5" s="32"/>
      <c r="AM5" s="30" t="s">
        <v>420</v>
      </c>
      <c r="AN5" s="31"/>
      <c r="AO5" s="31"/>
      <c r="AP5" s="32"/>
      <c r="AQ5" s="30" t="s">
        <v>388</v>
      </c>
      <c r="AR5" s="31"/>
      <c r="AS5" s="31"/>
      <c r="AT5" s="32"/>
    </row>
    <row r="6" ht="15.75" spans="1:47">
      <c r="A6" s="10" t="s">
        <v>583</v>
      </c>
      <c r="B6" s="11">
        <v>2</v>
      </c>
      <c r="C6" s="12">
        <v>5</v>
      </c>
      <c r="D6" s="16" t="str">
        <f>'[2]Malla base'!D6</f>
        <v>Ea</v>
      </c>
      <c r="E6" s="13" t="s">
        <v>563</v>
      </c>
      <c r="F6" s="11" t="s">
        <v>575</v>
      </c>
      <c r="G6" s="13" t="s">
        <v>565</v>
      </c>
      <c r="H6" s="16" t="s">
        <v>563</v>
      </c>
      <c r="I6" s="14" t="s">
        <v>584</v>
      </c>
      <c r="J6" s="15" t="s">
        <v>570</v>
      </c>
      <c r="K6" s="13" t="s">
        <v>565</v>
      </c>
      <c r="L6" s="16" t="s">
        <v>563</v>
      </c>
      <c r="M6" s="13" t="s">
        <v>671</v>
      </c>
      <c r="N6" s="15" t="s">
        <v>585</v>
      </c>
      <c r="O6" s="13" t="s">
        <v>565</v>
      </c>
      <c r="P6" s="16" t="str">
        <f>'[2]Malla base'!P6</f>
        <v>Eb</v>
      </c>
      <c r="Q6" s="13" t="s">
        <v>586</v>
      </c>
      <c r="R6" s="15" t="s">
        <v>587</v>
      </c>
      <c r="S6" s="13" t="s">
        <v>565</v>
      </c>
      <c r="T6" s="266" t="s">
        <v>563</v>
      </c>
      <c r="U6" s="13" t="s">
        <v>629</v>
      </c>
      <c r="V6" s="15" t="s">
        <v>588</v>
      </c>
      <c r="W6" s="13" t="s">
        <v>565</v>
      </c>
      <c r="X6" s="266" t="s">
        <v>563</v>
      </c>
      <c r="Y6" s="13" t="s">
        <v>585</v>
      </c>
      <c r="Z6" s="15" t="s">
        <v>589</v>
      </c>
      <c r="AA6" s="13" t="s">
        <v>565</v>
      </c>
      <c r="AB6" s="13" t="s">
        <v>90</v>
      </c>
      <c r="AC6" s="13" t="s">
        <v>722</v>
      </c>
      <c r="AD6" s="15" t="s">
        <v>590</v>
      </c>
      <c r="AE6" s="13" t="s">
        <v>565</v>
      </c>
      <c r="AF6" s="266" t="s">
        <v>86</v>
      </c>
      <c r="AG6" s="13" t="s">
        <v>620</v>
      </c>
      <c r="AH6" s="18"/>
      <c r="AI6" s="15" t="s">
        <v>591</v>
      </c>
      <c r="AJ6" s="13" t="s">
        <v>565</v>
      </c>
      <c r="AK6" s="17" t="s">
        <v>131</v>
      </c>
      <c r="AL6" s="13" t="s">
        <v>574</v>
      </c>
      <c r="AM6" s="15" t="s">
        <v>592</v>
      </c>
      <c r="AN6" s="13" t="s">
        <v>565</v>
      </c>
      <c r="AO6" s="17" t="s">
        <v>521</v>
      </c>
      <c r="AP6" s="14" t="s">
        <v>723</v>
      </c>
      <c r="AQ6" s="15" t="s">
        <v>593</v>
      </c>
      <c r="AR6" s="13" t="s">
        <v>565</v>
      </c>
      <c r="AS6" s="13"/>
      <c r="AT6" s="13"/>
      <c r="AU6" s="18"/>
    </row>
    <row r="7" s="1" customFormat="1" ht="46.5" customHeight="1" spans="1:47">
      <c r="A7" s="20"/>
      <c r="B7" s="21" t="s">
        <v>52</v>
      </c>
      <c r="C7" s="22"/>
      <c r="D7" s="22"/>
      <c r="E7" s="23"/>
      <c r="F7" s="21" t="s">
        <v>70</v>
      </c>
      <c r="G7" s="22"/>
      <c r="H7" s="22"/>
      <c r="I7" s="23"/>
      <c r="J7" s="24" t="s">
        <v>77</v>
      </c>
      <c r="K7" s="25"/>
      <c r="L7" s="25"/>
      <c r="M7" s="26"/>
      <c r="N7" s="24" t="s">
        <v>93</v>
      </c>
      <c r="O7" s="25"/>
      <c r="P7" s="25"/>
      <c r="Q7" s="26"/>
      <c r="R7" s="27" t="s">
        <v>407</v>
      </c>
      <c r="S7" s="28"/>
      <c r="T7" s="28"/>
      <c r="U7" s="29"/>
      <c r="V7" s="27" t="s">
        <v>391</v>
      </c>
      <c r="W7" s="28"/>
      <c r="X7" s="28"/>
      <c r="Y7" s="29"/>
      <c r="Z7" s="27" t="s">
        <v>347</v>
      </c>
      <c r="AA7" s="28"/>
      <c r="AB7" s="28"/>
      <c r="AC7" s="29"/>
      <c r="AD7" s="27" t="s">
        <v>340</v>
      </c>
      <c r="AE7" s="28"/>
      <c r="AF7" s="28"/>
      <c r="AG7" s="29"/>
      <c r="AI7" s="30" t="s">
        <v>543</v>
      </c>
      <c r="AJ7" s="31"/>
      <c r="AK7" s="31"/>
      <c r="AL7" s="32"/>
      <c r="AM7" s="30" t="s">
        <v>519</v>
      </c>
      <c r="AN7" s="31"/>
      <c r="AO7" s="31"/>
      <c r="AP7" s="32"/>
      <c r="AQ7" s="33" t="s">
        <v>582</v>
      </c>
      <c r="AR7" s="34"/>
      <c r="AS7" s="34"/>
      <c r="AT7" s="35"/>
    </row>
    <row r="8" ht="15.75" spans="1:47">
      <c r="A8" s="10" t="s">
        <v>594</v>
      </c>
      <c r="B8" s="11">
        <v>3</v>
      </c>
      <c r="C8" s="12" t="s">
        <v>595</v>
      </c>
      <c r="D8" s="16" t="s">
        <v>563</v>
      </c>
      <c r="E8" s="13" t="s">
        <v>563</v>
      </c>
      <c r="F8" s="11" t="s">
        <v>596</v>
      </c>
      <c r="G8" s="13" t="s">
        <v>565</v>
      </c>
      <c r="H8" s="16" t="s">
        <v>563</v>
      </c>
      <c r="I8" s="13" t="s">
        <v>597</v>
      </c>
      <c r="J8" s="15" t="s">
        <v>598</v>
      </c>
      <c r="K8" s="13" t="s">
        <v>565</v>
      </c>
      <c r="L8" s="16" t="str">
        <f>'[2]Malla base'!L8</f>
        <v>Eb</v>
      </c>
      <c r="M8" s="13" t="s">
        <v>596</v>
      </c>
      <c r="N8" s="15" t="s">
        <v>599</v>
      </c>
      <c r="O8" s="13" t="s">
        <v>595</v>
      </c>
      <c r="P8" s="16" t="str">
        <f>'[2]Malla base'!P8</f>
        <v>Eb</v>
      </c>
      <c r="Q8" s="13" t="s">
        <v>600</v>
      </c>
      <c r="R8" s="15" t="s">
        <v>601</v>
      </c>
      <c r="S8" s="13" t="s">
        <v>565</v>
      </c>
      <c r="T8" s="13"/>
      <c r="U8" s="13" t="s">
        <v>629</v>
      </c>
      <c r="V8" s="15" t="s">
        <v>602</v>
      </c>
      <c r="W8" s="13" t="s">
        <v>565</v>
      </c>
      <c r="X8" s="13" t="s">
        <v>135</v>
      </c>
      <c r="Y8" s="13" t="s">
        <v>587</v>
      </c>
      <c r="Z8" s="15" t="s">
        <v>603</v>
      </c>
      <c r="AA8" s="13" t="s">
        <v>565</v>
      </c>
      <c r="AB8" s="13" t="s">
        <v>114</v>
      </c>
      <c r="AC8" s="13" t="s">
        <v>709</v>
      </c>
      <c r="AD8" s="15" t="s">
        <v>604</v>
      </c>
      <c r="AE8" s="13" t="s">
        <v>565</v>
      </c>
      <c r="AF8" s="266" t="s">
        <v>156</v>
      </c>
      <c r="AG8" s="13" t="s">
        <v>724</v>
      </c>
      <c r="AH8" s="18"/>
      <c r="AI8" s="15" t="s">
        <v>605</v>
      </c>
      <c r="AJ8" s="13" t="s">
        <v>565</v>
      </c>
      <c r="AK8" s="13" t="s">
        <v>135</v>
      </c>
      <c r="AL8" s="13" t="s">
        <v>603</v>
      </c>
      <c r="AM8" s="15" t="s">
        <v>606</v>
      </c>
      <c r="AN8" s="13" t="s">
        <v>607</v>
      </c>
      <c r="AO8" s="13" t="s">
        <v>186</v>
      </c>
      <c r="AP8" s="13" t="s">
        <v>608</v>
      </c>
      <c r="AQ8" s="15" t="s">
        <v>609</v>
      </c>
      <c r="AR8" s="13" t="s">
        <v>610</v>
      </c>
      <c r="AS8" s="13" t="s">
        <v>186</v>
      </c>
      <c r="AT8" s="13" t="s">
        <v>606</v>
      </c>
      <c r="AU8" s="18"/>
    </row>
    <row r="9" s="1" customFormat="1" ht="58.5" customHeight="1" spans="1:47">
      <c r="A9" s="20"/>
      <c r="B9" s="21" t="s">
        <v>56</v>
      </c>
      <c r="C9" s="22"/>
      <c r="D9" s="22"/>
      <c r="E9" s="23"/>
      <c r="F9" s="21" t="s">
        <v>74</v>
      </c>
      <c r="G9" s="22"/>
      <c r="H9" s="22"/>
      <c r="I9" s="23"/>
      <c r="J9" s="21" t="s">
        <v>89</v>
      </c>
      <c r="K9" s="22"/>
      <c r="L9" s="22"/>
      <c r="M9" s="23"/>
      <c r="N9" s="24" t="s">
        <v>107</v>
      </c>
      <c r="O9" s="25"/>
      <c r="P9" s="25"/>
      <c r="Q9" s="26"/>
      <c r="R9" s="27" t="s">
        <v>229</v>
      </c>
      <c r="S9" s="28"/>
      <c r="T9" s="28"/>
      <c r="U9" s="29"/>
      <c r="V9" s="27" t="s">
        <v>355</v>
      </c>
      <c r="W9" s="28"/>
      <c r="X9" s="28"/>
      <c r="Y9" s="29"/>
      <c r="Z9" s="27" t="s">
        <v>364</v>
      </c>
      <c r="AA9" s="28"/>
      <c r="AB9" s="28"/>
      <c r="AC9" s="29"/>
      <c r="AD9" s="27" t="s">
        <v>327</v>
      </c>
      <c r="AE9" s="28"/>
      <c r="AF9" s="28"/>
      <c r="AG9" s="29"/>
      <c r="AI9" s="30" t="s">
        <v>725</v>
      </c>
      <c r="AJ9" s="31"/>
      <c r="AK9" s="31"/>
      <c r="AL9" s="32"/>
      <c r="AM9" s="36" t="s">
        <v>612</v>
      </c>
      <c r="AN9" s="37"/>
      <c r="AO9" s="37"/>
      <c r="AP9" s="38"/>
      <c r="AQ9" s="36" t="s">
        <v>613</v>
      </c>
      <c r="AR9" s="37"/>
      <c r="AS9" s="37"/>
      <c r="AT9" s="38"/>
      <c r="AU9" s="39"/>
    </row>
    <row r="10" ht="15.75" customHeight="1" spans="1:47">
      <c r="A10" s="10" t="s">
        <v>614</v>
      </c>
      <c r="B10" s="11" t="s">
        <v>607</v>
      </c>
      <c r="C10" s="16">
        <v>1</v>
      </c>
      <c r="D10" s="16" t="s">
        <v>563</v>
      </c>
      <c r="E10" s="13" t="s">
        <v>563</v>
      </c>
      <c r="F10" s="11" t="s">
        <v>615</v>
      </c>
      <c r="G10" s="13" t="s">
        <v>595</v>
      </c>
      <c r="H10" s="16" t="str">
        <f>'[2]Malla base'!H10</f>
        <v>Ea</v>
      </c>
      <c r="I10" s="40" t="s">
        <v>607</v>
      </c>
      <c r="J10" s="15" t="s">
        <v>616</v>
      </c>
      <c r="K10" s="13" t="s">
        <v>595</v>
      </c>
      <c r="L10" s="16" t="str">
        <f>'[2]Malla base'!L10</f>
        <v>Ia</v>
      </c>
      <c r="M10" s="13" t="s">
        <v>597</v>
      </c>
      <c r="N10" s="15" t="s">
        <v>617</v>
      </c>
      <c r="O10" s="13" t="s">
        <v>565</v>
      </c>
      <c r="P10" s="16" t="s">
        <v>563</v>
      </c>
      <c r="Q10" s="13" t="s">
        <v>618</v>
      </c>
      <c r="R10" s="15" t="s">
        <v>619</v>
      </c>
      <c r="S10" s="13" t="s">
        <v>565</v>
      </c>
      <c r="T10" s="13"/>
      <c r="U10" s="13"/>
      <c r="V10" s="15" t="s">
        <v>620</v>
      </c>
      <c r="W10" s="13" t="s">
        <v>565</v>
      </c>
      <c r="X10" s="266" t="s">
        <v>356</v>
      </c>
      <c r="Y10" s="13" t="s">
        <v>726</v>
      </c>
      <c r="Z10" s="15" t="s">
        <v>621</v>
      </c>
      <c r="AA10" s="13" t="s">
        <v>565</v>
      </c>
      <c r="AB10" s="13"/>
      <c r="AC10" s="13"/>
      <c r="AD10" s="15" t="s">
        <v>622</v>
      </c>
      <c r="AE10" s="13" t="s">
        <v>565</v>
      </c>
      <c r="AF10" s="13" t="s">
        <v>156</v>
      </c>
      <c r="AG10" s="13" t="s">
        <v>620</v>
      </c>
      <c r="AH10" s="18"/>
      <c r="AI10" s="15" t="s">
        <v>623</v>
      </c>
      <c r="AJ10" s="13" t="s">
        <v>565</v>
      </c>
      <c r="AK10" s="13" t="s">
        <v>135</v>
      </c>
      <c r="AL10" s="13" t="s">
        <v>727</v>
      </c>
      <c r="AM10" s="15" t="s">
        <v>624</v>
      </c>
      <c r="AN10" s="13" t="s">
        <v>565</v>
      </c>
      <c r="AO10" s="13"/>
      <c r="AP10" s="13"/>
      <c r="AU10" s="41"/>
    </row>
    <row r="11" s="1" customFormat="1" ht="46.5" customHeight="1" spans="1:47">
      <c r="A11" s="20"/>
      <c r="B11" s="42" t="s">
        <v>49</v>
      </c>
      <c r="C11" s="43"/>
      <c r="D11" s="43"/>
      <c r="E11" s="44"/>
      <c r="F11" s="21" t="s">
        <v>67</v>
      </c>
      <c r="G11" s="22"/>
      <c r="H11" s="22"/>
      <c r="I11" s="23"/>
      <c r="J11" s="24" t="s">
        <v>85</v>
      </c>
      <c r="K11" s="25"/>
      <c r="L11" s="25"/>
      <c r="M11" s="26"/>
      <c r="N11" s="24" t="s">
        <v>97</v>
      </c>
      <c r="O11" s="25"/>
      <c r="P11" s="25"/>
      <c r="Q11" s="26"/>
      <c r="R11" s="45" t="s">
        <v>625</v>
      </c>
      <c r="S11" s="46"/>
      <c r="T11" s="46"/>
      <c r="U11" s="47"/>
      <c r="V11" s="27" t="s">
        <v>341</v>
      </c>
      <c r="W11" s="28"/>
      <c r="X11" s="28"/>
      <c r="Y11" s="29"/>
      <c r="Z11" s="45" t="s">
        <v>625</v>
      </c>
      <c r="AA11" s="46"/>
      <c r="AB11" s="46"/>
      <c r="AC11" s="47"/>
      <c r="AD11" s="27" t="s">
        <v>421</v>
      </c>
      <c r="AE11" s="28"/>
      <c r="AF11" s="28"/>
      <c r="AG11" s="29"/>
      <c r="AI11" s="30" t="s">
        <v>515</v>
      </c>
      <c r="AJ11" s="31"/>
      <c r="AK11" s="31"/>
      <c r="AL11" s="32"/>
      <c r="AM11" s="33" t="s">
        <v>582</v>
      </c>
      <c r="AN11" s="34"/>
      <c r="AO11" s="34"/>
      <c r="AP11" s="35"/>
      <c r="AU11" s="39"/>
    </row>
    <row r="12" ht="15.75" spans="1:47">
      <c r="A12" s="10" t="s">
        <v>627</v>
      </c>
      <c r="B12" s="11" t="s">
        <v>595</v>
      </c>
      <c r="C12" s="16">
        <v>3</v>
      </c>
      <c r="D12" s="16"/>
      <c r="E12" s="13" t="s">
        <v>563</v>
      </c>
      <c r="F12"/>
      <c r="G12"/>
      <c r="H12" s="100"/>
      <c r="I12"/>
      <c r="N12" s="15" t="s">
        <v>628</v>
      </c>
      <c r="O12" s="13" t="s">
        <v>629</v>
      </c>
      <c r="P12" s="16"/>
      <c r="Q12" s="13" t="s">
        <v>652</v>
      </c>
      <c r="V12" s="15" t="s">
        <v>630</v>
      </c>
      <c r="W12" s="13" t="s">
        <v>565</v>
      </c>
      <c r="X12" s="13"/>
      <c r="Y12" s="13"/>
      <c r="Z12" s="15" t="s">
        <v>631</v>
      </c>
      <c r="AA12" s="13" t="s">
        <v>565</v>
      </c>
      <c r="AB12" s="16" t="s">
        <v>632</v>
      </c>
      <c r="AC12" s="17" t="s">
        <v>633</v>
      </c>
      <c r="AH12" s="18"/>
      <c r="AI12" s="15" t="s">
        <v>634</v>
      </c>
      <c r="AJ12" s="13" t="s">
        <v>565</v>
      </c>
      <c r="AK12" s="13"/>
      <c r="AL12" s="13"/>
      <c r="AM12" s="15" t="s">
        <v>635</v>
      </c>
      <c r="AN12" s="13" t="s">
        <v>565</v>
      </c>
      <c r="AO12" s="13"/>
      <c r="AP12" s="13"/>
      <c r="AU12" s="41"/>
    </row>
    <row r="13" s="1" customFormat="1" ht="46.5" customHeight="1" spans="1:47">
      <c r="A13" s="20"/>
      <c r="B13" s="48" t="s">
        <v>59</v>
      </c>
      <c r="C13" s="49"/>
      <c r="D13" s="49"/>
      <c r="E13" s="50"/>
      <c r="F13" s="51"/>
      <c r="G13" s="51"/>
      <c r="H13" s="101"/>
      <c r="I13" s="51"/>
      <c r="L13" s="52"/>
      <c r="N13" s="53" t="s">
        <v>101</v>
      </c>
      <c r="O13" s="54"/>
      <c r="P13" s="54"/>
      <c r="Q13" s="55"/>
      <c r="V13" s="45" t="s">
        <v>625</v>
      </c>
      <c r="W13" s="46"/>
      <c r="X13" s="46"/>
      <c r="Y13" s="47"/>
      <c r="Z13" s="56" t="s">
        <v>426</v>
      </c>
      <c r="AA13" s="57"/>
      <c r="AB13" s="57"/>
      <c r="AC13" s="58"/>
      <c r="AI13" s="33" t="s">
        <v>582</v>
      </c>
      <c r="AJ13" s="34"/>
      <c r="AK13" s="34"/>
      <c r="AL13" s="35"/>
      <c r="AM13" s="33" t="s">
        <v>582</v>
      </c>
      <c r="AN13" s="34"/>
      <c r="AO13" s="34"/>
      <c r="AP13" s="35"/>
      <c r="AU13" s="39"/>
    </row>
    <row r="14" customHeight="1" spans="1:47">
      <c r="A14" s="59" t="s">
        <v>636</v>
      </c>
      <c r="B14" s="11" t="s">
        <v>565</v>
      </c>
      <c r="C14" s="12">
        <v>3</v>
      </c>
      <c r="D14" s="16" t="s">
        <v>563</v>
      </c>
      <c r="E14" s="13" t="s">
        <v>563</v>
      </c>
      <c r="F14" s="11" t="s">
        <v>637</v>
      </c>
      <c r="G14" s="13" t="s">
        <v>629</v>
      </c>
      <c r="H14" s="16" t="s">
        <v>563</v>
      </c>
      <c r="I14" s="13" t="s">
        <v>565</v>
      </c>
      <c r="J14" s="15" t="s">
        <v>610</v>
      </c>
      <c r="K14" s="13" t="s">
        <v>629</v>
      </c>
      <c r="L14" s="16" t="s">
        <v>563</v>
      </c>
      <c r="M14" s="13" t="s">
        <v>637</v>
      </c>
      <c r="N14" s="15" t="s">
        <v>638</v>
      </c>
      <c r="O14" s="13" t="s">
        <v>607</v>
      </c>
      <c r="P14" s="16" t="s">
        <v>563</v>
      </c>
      <c r="Q14" s="13" t="s">
        <v>563</v>
      </c>
      <c r="R14" s="15" t="s">
        <v>639</v>
      </c>
      <c r="S14" s="13" t="s">
        <v>629</v>
      </c>
      <c r="T14" s="13" t="s">
        <v>563</v>
      </c>
      <c r="U14" s="13" t="s">
        <v>628</v>
      </c>
      <c r="V14" s="60"/>
      <c r="W14" s="60"/>
      <c r="X14" s="60"/>
      <c r="Y14" s="60"/>
      <c r="Z14" s="61"/>
      <c r="AA14" s="62"/>
      <c r="AB14" s="62"/>
      <c r="AC14" s="63"/>
      <c r="AD14" s="15" t="s">
        <v>640</v>
      </c>
      <c r="AE14" s="13" t="s">
        <v>629</v>
      </c>
      <c r="AF14" s="13" t="s">
        <v>563</v>
      </c>
      <c r="AG14" s="13" t="s">
        <v>563</v>
      </c>
      <c r="AI14" s="60"/>
      <c r="AJ14" s="60"/>
      <c r="AK14" s="60"/>
      <c r="AL14" s="60"/>
      <c r="AM14" s="15" t="s">
        <v>641</v>
      </c>
      <c r="AN14" s="13" t="s">
        <v>642</v>
      </c>
      <c r="AO14" s="16" t="str">
        <f>'[2]Malla base'!AO14</f>
        <v>Ec,Ia</v>
      </c>
      <c r="AP14" s="13" t="s">
        <v>675</v>
      </c>
      <c r="AU14" s="60"/>
    </row>
    <row r="15" ht="46.5" customHeight="1" spans="1:47">
      <c r="A15" s="20"/>
      <c r="B15" s="64" t="s">
        <v>645</v>
      </c>
      <c r="C15" s="65"/>
      <c r="D15" s="65"/>
      <c r="E15" s="66"/>
      <c r="F15" s="67" t="s">
        <v>646</v>
      </c>
      <c r="G15" s="68"/>
      <c r="H15" s="68"/>
      <c r="I15" s="69"/>
      <c r="J15" s="53" t="s">
        <v>647</v>
      </c>
      <c r="K15" s="54"/>
      <c r="L15" s="54"/>
      <c r="M15" s="55"/>
      <c r="N15" s="53" t="s">
        <v>648</v>
      </c>
      <c r="O15" s="54"/>
      <c r="P15" s="54"/>
      <c r="Q15" s="55"/>
      <c r="R15" s="67" t="s">
        <v>320</v>
      </c>
      <c r="S15" s="68"/>
      <c r="T15" s="68"/>
      <c r="U15" s="69"/>
      <c r="V15" s="70"/>
      <c r="W15" s="70"/>
      <c r="X15" s="70"/>
      <c r="Z15" s="70"/>
      <c r="AA15" s="70"/>
      <c r="AB15" s="70"/>
      <c r="AC15" s="71"/>
      <c r="AD15" s="72" t="s">
        <v>649</v>
      </c>
      <c r="AE15" s="73"/>
      <c r="AF15" s="73"/>
      <c r="AG15" s="74"/>
      <c r="AM15" s="75" t="s">
        <v>650</v>
      </c>
      <c r="AN15" s="76"/>
      <c r="AO15" s="76"/>
      <c r="AP15" s="77"/>
    </row>
    <row r="16" ht="15.95" customHeight="1" spans="1:47">
      <c r="A16" s="10" t="s">
        <v>651</v>
      </c>
      <c r="B16" s="11" t="s">
        <v>652</v>
      </c>
      <c r="C16" s="16">
        <v>3</v>
      </c>
      <c r="D16" s="16" t="s">
        <v>563</v>
      </c>
      <c r="E16" s="13" t="s">
        <v>563</v>
      </c>
      <c r="F16" s="11" t="s">
        <v>653</v>
      </c>
      <c r="G16" s="12">
        <v>3</v>
      </c>
      <c r="H16" s="16" t="s">
        <v>563</v>
      </c>
      <c r="I16" s="13" t="s">
        <v>563</v>
      </c>
      <c r="J16" s="15" t="s">
        <v>654</v>
      </c>
      <c r="K16" s="13" t="s">
        <v>607</v>
      </c>
      <c r="L16" s="16" t="s">
        <v>563</v>
      </c>
      <c r="M16" s="13" t="s">
        <v>563</v>
      </c>
      <c r="N16" s="60"/>
      <c r="O16" s="60"/>
      <c r="P16" s="78"/>
      <c r="Q16" s="60"/>
      <c r="R16" s="15" t="s">
        <v>655</v>
      </c>
      <c r="S16" s="13" t="s">
        <v>607</v>
      </c>
      <c r="T16" s="13" t="s">
        <v>563</v>
      </c>
      <c r="U16" s="13" t="s">
        <v>563</v>
      </c>
      <c r="V16" s="60"/>
      <c r="W16" s="60"/>
      <c r="X16" s="60"/>
      <c r="Z16" s="60"/>
      <c r="AA16" s="60"/>
      <c r="AB16" s="60"/>
      <c r="AC16" s="60"/>
      <c r="AD16" s="60"/>
      <c r="AE16" s="60"/>
      <c r="AF16" s="60"/>
    </row>
    <row r="17" ht="46.5" customHeight="1" spans="1:47">
      <c r="A17" s="20"/>
      <c r="B17" s="67" t="s">
        <v>46</v>
      </c>
      <c r="C17" s="68"/>
      <c r="D17" s="68"/>
      <c r="E17" s="69"/>
      <c r="F17" s="79" t="s">
        <v>649</v>
      </c>
      <c r="G17" s="80"/>
      <c r="H17" s="80"/>
      <c r="I17" s="81"/>
      <c r="J17" s="53" t="s">
        <v>648</v>
      </c>
      <c r="K17" s="54"/>
      <c r="L17" s="54"/>
      <c r="M17" s="55"/>
      <c r="N17" s="70"/>
      <c r="O17" s="70"/>
      <c r="P17" s="82"/>
      <c r="Q17" s="70"/>
      <c r="R17" s="53" t="s">
        <v>648</v>
      </c>
      <c r="S17" s="54"/>
      <c r="T17" s="54"/>
      <c r="U17" s="55"/>
      <c r="V17" s="70"/>
      <c r="W17" s="70"/>
      <c r="X17" s="70"/>
      <c r="AC17" s="70"/>
      <c r="AD17" s="70"/>
      <c r="AE17" s="70"/>
      <c r="AF17" s="70"/>
      <c r="AI17" s="2" t="s">
        <v>656</v>
      </c>
    </row>
    <row r="18" ht="15.75" spans="1:47">
      <c r="A18" s="83"/>
      <c r="B18" s="60"/>
      <c r="C18" s="60"/>
      <c r="D18" s="78"/>
      <c r="E18" s="60"/>
      <c r="F18" s="60"/>
      <c r="G18" s="60"/>
      <c r="H18" s="78"/>
      <c r="I18" s="60"/>
      <c r="J18" s="60"/>
      <c r="K18" s="60"/>
      <c r="L18" s="78"/>
      <c r="M18" s="60"/>
      <c r="N18" s="60"/>
      <c r="O18" s="60"/>
      <c r="P18" s="78"/>
      <c r="Q18" s="60"/>
      <c r="R18" s="60"/>
      <c r="S18" s="60"/>
      <c r="T18" s="60"/>
      <c r="U18" s="60"/>
      <c r="V18" s="60"/>
      <c r="W18" s="60"/>
      <c r="X18" s="84" t="s">
        <v>657</v>
      </c>
      <c r="Y18" s="16" t="s">
        <v>637</v>
      </c>
      <c r="Z18" s="16" t="str">
        <f>'[2]Malla base'!Z18</f>
        <v>Ic(Ea)</v>
      </c>
      <c r="AA18" s="85" t="s">
        <v>658</v>
      </c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84">
        <v>59</v>
      </c>
      <c r="AP18" s="16" t="s">
        <v>637</v>
      </c>
      <c r="AQ18" s="16" t="str">
        <f>'[2]Malla base'!AQ18</f>
        <v>Ic(Eb, Ob)</v>
      </c>
      <c r="AR18" s="85" t="s">
        <v>660</v>
      </c>
    </row>
    <row r="19" ht="38.1" customHeight="1" spans="1:47">
      <c r="A19" s="86"/>
      <c r="B19" s="86"/>
      <c r="C19" s="86"/>
      <c r="D19" s="87"/>
      <c r="E19" s="11" t="s">
        <v>549</v>
      </c>
      <c r="F19" s="13" t="s">
        <v>661</v>
      </c>
      <c r="G19" s="13"/>
      <c r="H19" s="17"/>
      <c r="I19" s="86"/>
      <c r="J19" s="86"/>
      <c r="K19" s="86"/>
      <c r="L19" s="87"/>
      <c r="M19" s="86"/>
      <c r="N19" s="86"/>
      <c r="O19" s="86"/>
      <c r="P19" s="87"/>
      <c r="Q19" s="86"/>
      <c r="R19" s="86"/>
      <c r="S19" s="86"/>
      <c r="T19" s="86"/>
      <c r="U19" s="86"/>
      <c r="V19" s="86"/>
      <c r="W19" s="86"/>
      <c r="X19" s="75" t="s">
        <v>447</v>
      </c>
      <c r="Y19" s="76"/>
      <c r="Z19" s="76"/>
      <c r="AA19" s="77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75" t="s">
        <v>463</v>
      </c>
      <c r="AP19" s="76"/>
      <c r="AQ19" s="76"/>
      <c r="AR19" s="77"/>
      <c r="AS19" s="86"/>
      <c r="AT19" s="86"/>
      <c r="AU19" s="86"/>
    </row>
    <row r="20" ht="38.1" customHeight="1" spans="1:47">
      <c r="A20" s="86"/>
      <c r="B20" s="86"/>
      <c r="C20" s="86"/>
      <c r="D20" s="87"/>
      <c r="E20" s="88" t="s">
        <v>662</v>
      </c>
      <c r="F20" s="89"/>
      <c r="G20" s="89"/>
      <c r="H20" s="90"/>
      <c r="I20" s="86"/>
      <c r="J20" s="86"/>
      <c r="K20" s="86"/>
      <c r="L20" s="87"/>
      <c r="M20" s="86"/>
      <c r="N20" s="86"/>
      <c r="O20" s="86"/>
      <c r="P20" s="87"/>
      <c r="Q20" s="86"/>
      <c r="R20" s="86"/>
      <c r="S20" s="86"/>
      <c r="T20" s="86"/>
      <c r="U20" s="86"/>
      <c r="V20" s="86"/>
      <c r="W20" s="86"/>
      <c r="X20" s="70"/>
      <c r="Y20" s="70"/>
      <c r="Z20" s="70"/>
      <c r="AA20" s="70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70"/>
      <c r="AP20" s="70"/>
      <c r="AQ20" s="70"/>
      <c r="AR20" s="70"/>
      <c r="AS20" s="86"/>
      <c r="AT20" s="86"/>
      <c r="AU20" s="86"/>
    </row>
    <row r="21" ht="38.1" customHeight="1" spans="1:47">
      <c r="A21" s="86"/>
      <c r="B21" s="86"/>
      <c r="C21" s="86"/>
      <c r="D21" s="87"/>
      <c r="E21" s="86"/>
      <c r="F21" s="86"/>
      <c r="G21" s="86"/>
      <c r="H21" s="87"/>
      <c r="I21" s="86"/>
      <c r="J21" s="86"/>
      <c r="K21" s="86"/>
      <c r="L21" s="87"/>
      <c r="M21" s="86"/>
      <c r="N21" s="86"/>
      <c r="O21" s="86"/>
      <c r="P21" s="87"/>
      <c r="Q21" s="86"/>
      <c r="R21" s="86"/>
      <c r="S21" s="86"/>
      <c r="T21" s="86"/>
      <c r="U21" s="86"/>
      <c r="V21" s="86"/>
      <c r="W21" s="86"/>
      <c r="X21" s="70"/>
      <c r="Y21" s="70"/>
      <c r="Z21" s="70"/>
      <c r="AA21" s="70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70"/>
      <c r="AP21" s="70"/>
      <c r="AQ21" s="70"/>
      <c r="AR21" s="70"/>
      <c r="AS21" s="86"/>
      <c r="AT21" s="86"/>
      <c r="AU21" s="86"/>
    </row>
    <row r="22" ht="15.75" spans="1:47">
      <c r="B22" s="15" t="s">
        <v>663</v>
      </c>
      <c r="C22" s="13" t="s">
        <v>664</v>
      </c>
      <c r="D22" s="16" t="s">
        <v>665</v>
      </c>
      <c r="E22" s="13" t="s">
        <v>666</v>
      </c>
    </row>
    <row r="23" ht="42" customHeight="1" spans="1:47">
      <c r="B23" s="91" t="s">
        <v>667</v>
      </c>
      <c r="C23" s="92"/>
      <c r="D23" s="92"/>
      <c r="E23" s="93"/>
    </row>
    <row r="25" ht="46.5" customHeight="1" spans="1:47">
      <c r="B25" s="102"/>
      <c r="C25" s="102"/>
      <c r="D25" s="103"/>
      <c r="E25" s="102"/>
    </row>
  </sheetData>
  <mergeCells count="89">
    <mergeCell ref="B2:I2"/>
    <mergeCell ref="J2:Q2"/>
    <mergeCell ref="R2:Y2"/>
    <mergeCell ref="Z2:AG2"/>
    <mergeCell ref="AI2:AP2"/>
    <mergeCell ref="AQ2:AT2"/>
    <mergeCell ref="B3:E3"/>
    <mergeCell ref="F3:I3"/>
    <mergeCell ref="J3:M3"/>
    <mergeCell ref="N3:Q3"/>
    <mergeCell ref="R3:U3"/>
    <mergeCell ref="V3:Y3"/>
    <mergeCell ref="Z3:AC3"/>
    <mergeCell ref="AD3:AG3"/>
    <mergeCell ref="AI3:AL3"/>
    <mergeCell ref="AM3:AP3"/>
    <mergeCell ref="AQ3:AT3"/>
    <mergeCell ref="B5:E5"/>
    <mergeCell ref="F5:I5"/>
    <mergeCell ref="J5:M5"/>
    <mergeCell ref="N5:Q5"/>
    <mergeCell ref="R5:U5"/>
    <mergeCell ref="V5:Y5"/>
    <mergeCell ref="Z5:AC5"/>
    <mergeCell ref="AD5:AG5"/>
    <mergeCell ref="AI5:AL5"/>
    <mergeCell ref="AM5:AP5"/>
    <mergeCell ref="AQ5:AT5"/>
    <mergeCell ref="B7:E7"/>
    <mergeCell ref="F7:I7"/>
    <mergeCell ref="J7:M7"/>
    <mergeCell ref="N7:Q7"/>
    <mergeCell ref="R7:U7"/>
    <mergeCell ref="V7:Y7"/>
    <mergeCell ref="Z7:AC7"/>
    <mergeCell ref="AD7:AG7"/>
    <mergeCell ref="AI7:AL7"/>
    <mergeCell ref="AM7:AP7"/>
    <mergeCell ref="AQ7:AT7"/>
    <mergeCell ref="B9:E9"/>
    <mergeCell ref="F9:I9"/>
    <mergeCell ref="J9:M9"/>
    <mergeCell ref="N9:Q9"/>
    <mergeCell ref="R9:U9"/>
    <mergeCell ref="V9:Y9"/>
    <mergeCell ref="Z9:AC9"/>
    <mergeCell ref="AD9:AG9"/>
    <mergeCell ref="AI9:AL9"/>
    <mergeCell ref="AM9:AP9"/>
    <mergeCell ref="AQ9:AT9"/>
    <mergeCell ref="B11:E11"/>
    <mergeCell ref="F11:I11"/>
    <mergeCell ref="J11:M11"/>
    <mergeCell ref="N11:Q11"/>
    <mergeCell ref="R11:U11"/>
    <mergeCell ref="V11:Y11"/>
    <mergeCell ref="Z11:AC11"/>
    <mergeCell ref="AD11:AG11"/>
    <mergeCell ref="AI11:AL11"/>
    <mergeCell ref="AM11:AP11"/>
    <mergeCell ref="B13:E13"/>
    <mergeCell ref="N13:Q13"/>
    <mergeCell ref="V13:Y13"/>
    <mergeCell ref="Z13:AC13"/>
    <mergeCell ref="AI13:AL13"/>
    <mergeCell ref="AM13:AP13"/>
    <mergeCell ref="B15:E15"/>
    <mergeCell ref="F15:I15"/>
    <mergeCell ref="J15:M15"/>
    <mergeCell ref="N15:Q15"/>
    <mergeCell ref="R15:U15"/>
    <mergeCell ref="Z15:AC15"/>
    <mergeCell ref="AD15:AG15"/>
    <mergeCell ref="AM15:AP15"/>
    <mergeCell ref="B17:E17"/>
    <mergeCell ref="F17:I17"/>
    <mergeCell ref="J17:M17"/>
    <mergeCell ref="R17:U17"/>
    <mergeCell ref="X19:AA19"/>
    <mergeCell ref="AO19:AR19"/>
    <mergeCell ref="E20:H20"/>
    <mergeCell ref="B23:E23"/>
    <mergeCell ref="A4:A5"/>
    <mergeCell ref="A6:A7"/>
    <mergeCell ref="A8:A9"/>
    <mergeCell ref="A10:A11"/>
    <mergeCell ref="A12:A13"/>
    <mergeCell ref="A14:A15"/>
    <mergeCell ref="A16:A17"/>
  </mergeCells>
  <pageMargins left="0.75" right="0.75" top="1" bottom="1" header="0.5" footer="0.5"/>
  <pageSetup paperSize="1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660066"/>
  </sheetPr>
  <dimension ref="A1:AU26"/>
  <sheetViews>
    <sheetView zoomScale="70" zoomScaleNormal="70" topLeftCell="J2" workbookViewId="0">
      <selection activeCell="AW12" sqref="AW12"/>
    </sheetView>
  </sheetViews>
  <sheetFormatPr defaultColWidth="10.5714285714286" defaultRowHeight="15"/>
  <cols>
    <col min="1" max="1" width="10.5714285714286" style="2"/>
    <col min="2" max="2" width="3.57142857142857" style="2" customWidth="1"/>
    <col min="3" max="5" width="5.42857142857143" style="2" customWidth="1"/>
    <col min="6" max="6" width="3.57142857142857" style="2" customWidth="1"/>
    <col min="7" max="9" width="5.42857142857143" style="2" customWidth="1"/>
    <col min="10" max="10" width="3.57142857142857" style="2" customWidth="1"/>
    <col min="11" max="11" width="5.42857142857143" style="2" customWidth="1"/>
    <col min="12" max="12" width="5.42857142857143" style="3" customWidth="1"/>
    <col min="13" max="13" width="5.42857142857143" style="2" customWidth="1"/>
    <col min="14" max="14" width="3.57142857142857" style="2" customWidth="1"/>
    <col min="15" max="15" width="5.42857142857143" style="2" customWidth="1"/>
    <col min="16" max="16" width="5.42857142857143" style="3" customWidth="1"/>
    <col min="17" max="17" width="7.57142857142857" style="2" customWidth="1"/>
    <col min="18" max="18" width="3.42857142857143" style="2" customWidth="1"/>
    <col min="19" max="21" width="5.42857142857143" style="2" customWidth="1"/>
    <col min="22" max="22" width="3.57142857142857" style="2" customWidth="1"/>
    <col min="23" max="25" width="5.42857142857143" style="2" customWidth="1"/>
    <col min="26" max="26" width="6.14285714285714" style="2" customWidth="1"/>
    <col min="27" max="29" width="5.42857142857143" style="2" customWidth="1"/>
    <col min="30" max="30" width="3.57142857142857" style="2" customWidth="1"/>
    <col min="31" max="32" width="5.42857142857143" style="2" customWidth="1"/>
    <col min="33" max="33" width="6.57142857142857" style="2" customWidth="1"/>
    <col min="34" max="34" width="5.42857142857143" style="2" customWidth="1"/>
    <col min="35" max="35" width="3.57142857142857" style="2" customWidth="1"/>
    <col min="36" max="36" width="5.42857142857143" style="2" customWidth="1"/>
    <col min="37" max="37" width="6" style="2" customWidth="1"/>
    <col min="38" max="38" width="5.42857142857143" style="2" customWidth="1"/>
    <col min="39" max="39" width="3.57142857142857" style="2" customWidth="1"/>
    <col min="40" max="42" width="5.42857142857143" style="2" customWidth="1"/>
    <col min="43" max="43" width="3.57142857142857" style="2" customWidth="1"/>
    <col min="44" max="44" width="5.42857142857143" style="2" customWidth="1"/>
    <col min="45" max="45" width="7.42857142857143" style="2" customWidth="1"/>
    <col min="46" max="46" width="5.42857142857143" style="2" customWidth="1"/>
    <col min="47" max="47" width="3" style="2" customWidth="1"/>
    <col min="48" max="48" width="3.57142857142857" style="2" customWidth="1"/>
    <col min="49" max="51" width="5.42857142857143" style="2" customWidth="1"/>
    <col min="52" max="16384" width="10.5714285714286" style="2"/>
  </cols>
  <sheetData>
    <row r="1" ht="15.75" spans="1:47">
      <c r="AL1" s="4"/>
    </row>
    <row r="2" ht="15.75" spans="1:47">
      <c r="B2" s="5" t="s">
        <v>556</v>
      </c>
      <c r="C2" s="5"/>
      <c r="D2" s="5"/>
      <c r="E2" s="5"/>
      <c r="F2" s="5"/>
      <c r="G2" s="5"/>
      <c r="H2" s="5"/>
      <c r="I2" s="5"/>
      <c r="J2" s="6" t="s">
        <v>557</v>
      </c>
      <c r="K2" s="7"/>
      <c r="L2" s="7"/>
      <c r="M2" s="7"/>
      <c r="N2" s="7"/>
      <c r="O2" s="7"/>
      <c r="P2" s="7"/>
      <c r="Q2" s="8"/>
      <c r="R2" s="6" t="s">
        <v>558</v>
      </c>
      <c r="S2" s="7"/>
      <c r="T2" s="7"/>
      <c r="U2" s="7"/>
      <c r="V2" s="7"/>
      <c r="W2" s="7"/>
      <c r="X2" s="7"/>
      <c r="Y2" s="8"/>
      <c r="Z2" s="6" t="s">
        <v>559</v>
      </c>
      <c r="AA2" s="7"/>
      <c r="AB2" s="7"/>
      <c r="AC2" s="7"/>
      <c r="AD2" s="7"/>
      <c r="AE2" s="7"/>
      <c r="AF2" s="7"/>
      <c r="AG2" s="8"/>
      <c r="AI2" s="6" t="s">
        <v>560</v>
      </c>
      <c r="AJ2" s="7"/>
      <c r="AK2" s="7"/>
      <c r="AL2" s="7"/>
      <c r="AM2" s="7"/>
      <c r="AN2" s="7"/>
      <c r="AO2" s="7"/>
      <c r="AP2" s="8"/>
      <c r="AQ2" s="6" t="s">
        <v>561</v>
      </c>
      <c r="AR2" s="7"/>
      <c r="AS2" s="7"/>
      <c r="AT2" s="8"/>
      <c r="AU2" s="9"/>
    </row>
    <row r="3" ht="15.75" spans="1:47">
      <c r="B3" s="6">
        <v>1</v>
      </c>
      <c r="C3" s="7"/>
      <c r="D3" s="7"/>
      <c r="E3" s="8"/>
      <c r="F3" s="6">
        <v>2</v>
      </c>
      <c r="G3" s="7"/>
      <c r="H3" s="7"/>
      <c r="I3" s="8"/>
      <c r="J3" s="6">
        <v>1</v>
      </c>
      <c r="K3" s="7"/>
      <c r="L3" s="7"/>
      <c r="M3" s="8"/>
      <c r="N3" s="6">
        <v>2</v>
      </c>
      <c r="O3" s="7"/>
      <c r="P3" s="7"/>
      <c r="Q3" s="8"/>
      <c r="R3" s="6">
        <v>1</v>
      </c>
      <c r="S3" s="7"/>
      <c r="T3" s="7"/>
      <c r="U3" s="8"/>
      <c r="V3" s="6">
        <v>2</v>
      </c>
      <c r="W3" s="7"/>
      <c r="X3" s="7"/>
      <c r="Y3" s="8"/>
      <c r="Z3" s="6">
        <v>1</v>
      </c>
      <c r="AA3" s="7"/>
      <c r="AB3" s="7"/>
      <c r="AC3" s="8"/>
      <c r="AD3" s="6">
        <v>2</v>
      </c>
      <c r="AE3" s="7"/>
      <c r="AF3" s="7"/>
      <c r="AG3" s="8"/>
      <c r="AI3" s="6">
        <v>1</v>
      </c>
      <c r="AJ3" s="7"/>
      <c r="AK3" s="7"/>
      <c r="AL3" s="8"/>
      <c r="AM3" s="6">
        <v>2</v>
      </c>
      <c r="AN3" s="7"/>
      <c r="AO3" s="7"/>
      <c r="AP3" s="8"/>
      <c r="AQ3" s="6">
        <v>1</v>
      </c>
      <c r="AR3" s="7"/>
      <c r="AS3" s="7"/>
      <c r="AT3" s="8"/>
      <c r="AU3" s="9"/>
    </row>
    <row r="4" ht="15.75" customHeight="1" spans="1:47">
      <c r="A4" s="10" t="s">
        <v>562</v>
      </c>
      <c r="B4" s="11">
        <v>1</v>
      </c>
      <c r="C4" s="12">
        <v>10</v>
      </c>
      <c r="D4" s="13" t="s">
        <v>563</v>
      </c>
      <c r="E4" s="13" t="s">
        <v>563</v>
      </c>
      <c r="F4" s="11" t="s">
        <v>564</v>
      </c>
      <c r="G4" s="13" t="s">
        <v>565</v>
      </c>
      <c r="H4" s="13" t="s">
        <v>563</v>
      </c>
      <c r="I4" s="14" t="s">
        <v>566</v>
      </c>
      <c r="J4" s="15" t="s">
        <v>567</v>
      </c>
      <c r="K4" s="13" t="s">
        <v>565</v>
      </c>
      <c r="L4" s="16" t="s">
        <v>563</v>
      </c>
      <c r="M4" s="13" t="s">
        <v>568</v>
      </c>
      <c r="N4" s="15" t="s">
        <v>569</v>
      </c>
      <c r="O4" s="13" t="s">
        <v>565</v>
      </c>
      <c r="P4" s="16" t="s">
        <v>563</v>
      </c>
      <c r="Q4" s="13" t="s">
        <v>570</v>
      </c>
      <c r="R4" s="15" t="s">
        <v>571</v>
      </c>
      <c r="S4" s="13" t="s">
        <v>565</v>
      </c>
      <c r="T4" s="13"/>
      <c r="U4" s="13" t="s">
        <v>695</v>
      </c>
      <c r="V4" s="15" t="s">
        <v>572</v>
      </c>
      <c r="W4" s="13" t="s">
        <v>565</v>
      </c>
      <c r="X4" s="13"/>
      <c r="Y4" s="14" t="s">
        <v>728</v>
      </c>
      <c r="Z4" s="15" t="s">
        <v>573</v>
      </c>
      <c r="AA4" s="13" t="s">
        <v>565</v>
      </c>
      <c r="AB4" s="13" t="s">
        <v>86</v>
      </c>
      <c r="AC4" s="13" t="s">
        <v>729</v>
      </c>
      <c r="AD4" s="15" t="s">
        <v>574</v>
      </c>
      <c r="AE4" s="13" t="s">
        <v>575</v>
      </c>
      <c r="AF4" s="13" t="s">
        <v>156</v>
      </c>
      <c r="AG4" s="17" t="s">
        <v>730</v>
      </c>
      <c r="AH4" s="18"/>
      <c r="AI4" s="15" t="s">
        <v>576</v>
      </c>
      <c r="AJ4" s="13" t="s">
        <v>565</v>
      </c>
      <c r="AK4" s="13" t="s">
        <v>156</v>
      </c>
      <c r="AL4" s="13" t="s">
        <v>622</v>
      </c>
      <c r="AM4" s="15" t="s">
        <v>577</v>
      </c>
      <c r="AN4" s="13" t="s">
        <v>565</v>
      </c>
      <c r="AO4" s="13" t="s">
        <v>521</v>
      </c>
      <c r="AP4" s="13" t="s">
        <v>634</v>
      </c>
      <c r="AQ4" s="15" t="s">
        <v>578</v>
      </c>
      <c r="AR4" s="13" t="s">
        <v>565</v>
      </c>
      <c r="AS4" s="17" t="s">
        <v>264</v>
      </c>
      <c r="AT4" s="13" t="s">
        <v>731</v>
      </c>
      <c r="AU4" s="19"/>
    </row>
    <row r="5" s="1" customFormat="1" ht="46.5" customHeight="1" spans="1:47">
      <c r="A5" s="20"/>
      <c r="B5" s="21" t="s">
        <v>37</v>
      </c>
      <c r="C5" s="22"/>
      <c r="D5" s="22"/>
      <c r="E5" s="23"/>
      <c r="F5" s="21" t="s">
        <v>62</v>
      </c>
      <c r="G5" s="22"/>
      <c r="H5" s="22"/>
      <c r="I5" s="23"/>
      <c r="J5" s="24" t="s">
        <v>81</v>
      </c>
      <c r="K5" s="25"/>
      <c r="L5" s="25"/>
      <c r="M5" s="26"/>
      <c r="N5" s="24" t="s">
        <v>104</v>
      </c>
      <c r="O5" s="25"/>
      <c r="P5" s="25"/>
      <c r="Q5" s="26"/>
      <c r="R5" s="27" t="s">
        <v>732</v>
      </c>
      <c r="S5" s="28"/>
      <c r="T5" s="28"/>
      <c r="U5" s="29"/>
      <c r="V5" s="27" t="s">
        <v>536</v>
      </c>
      <c r="W5" s="28"/>
      <c r="X5" s="28"/>
      <c r="Y5" s="29"/>
      <c r="Z5" s="27" t="s">
        <v>144</v>
      </c>
      <c r="AA5" s="28"/>
      <c r="AB5" s="28"/>
      <c r="AC5" s="29"/>
      <c r="AD5" s="27" t="s">
        <v>113</v>
      </c>
      <c r="AE5" s="28"/>
      <c r="AF5" s="28"/>
      <c r="AG5" s="29"/>
      <c r="AI5" s="30" t="s">
        <v>344</v>
      </c>
      <c r="AJ5" s="31"/>
      <c r="AK5" s="31"/>
      <c r="AL5" s="32"/>
      <c r="AM5" s="30" t="s">
        <v>540</v>
      </c>
      <c r="AN5" s="31"/>
      <c r="AO5" s="31"/>
      <c r="AP5" s="32"/>
      <c r="AQ5" s="30" t="s">
        <v>333</v>
      </c>
      <c r="AR5" s="31"/>
      <c r="AS5" s="31"/>
      <c r="AT5" s="32"/>
    </row>
    <row r="6" ht="15.95" customHeight="1" spans="1:47">
      <c r="A6" s="10" t="s">
        <v>583</v>
      </c>
      <c r="B6" s="11">
        <v>2</v>
      </c>
      <c r="C6" s="12">
        <v>5</v>
      </c>
      <c r="D6" s="16" t="str">
        <f>'Malla base'!D6</f>
        <v>Ea</v>
      </c>
      <c r="E6" s="13" t="s">
        <v>563</v>
      </c>
      <c r="F6" s="11" t="s">
        <v>575</v>
      </c>
      <c r="G6" s="13" t="s">
        <v>565</v>
      </c>
      <c r="H6" s="13" t="s">
        <v>563</v>
      </c>
      <c r="I6" s="14" t="s">
        <v>584</v>
      </c>
      <c r="J6" s="15" t="s">
        <v>570</v>
      </c>
      <c r="K6" s="13" t="s">
        <v>565</v>
      </c>
      <c r="L6" s="16" t="s">
        <v>563</v>
      </c>
      <c r="M6" s="13" t="s">
        <v>671</v>
      </c>
      <c r="N6" s="15" t="s">
        <v>585</v>
      </c>
      <c r="O6" s="13" t="s">
        <v>565</v>
      </c>
      <c r="P6" s="16" t="str">
        <f>'Malla base'!P6</f>
        <v>Eb</v>
      </c>
      <c r="Q6" s="13" t="s">
        <v>586</v>
      </c>
      <c r="R6" s="15" t="s">
        <v>587</v>
      </c>
      <c r="S6" s="13" t="s">
        <v>565</v>
      </c>
      <c r="T6" s="13"/>
      <c r="U6" s="13" t="s">
        <v>599</v>
      </c>
      <c r="V6" s="15" t="s">
        <v>588</v>
      </c>
      <c r="W6" s="13" t="s">
        <v>565</v>
      </c>
      <c r="X6" s="13"/>
      <c r="Y6" s="13" t="s">
        <v>733</v>
      </c>
      <c r="Z6" s="15" t="s">
        <v>589</v>
      </c>
      <c r="AA6" s="13" t="s">
        <v>565</v>
      </c>
      <c r="AB6" s="13"/>
      <c r="AC6" s="13" t="s">
        <v>729</v>
      </c>
      <c r="AD6" s="15" t="s">
        <v>590</v>
      </c>
      <c r="AE6" s="13" t="s">
        <v>565</v>
      </c>
      <c r="AF6" s="266" t="s">
        <v>135</v>
      </c>
      <c r="AG6" s="13" t="s">
        <v>734</v>
      </c>
      <c r="AH6" s="18"/>
      <c r="AI6" s="15" t="s">
        <v>591</v>
      </c>
      <c r="AJ6" s="13" t="s">
        <v>565</v>
      </c>
      <c r="AK6" s="13" t="s">
        <v>521</v>
      </c>
      <c r="AL6" s="13" t="s">
        <v>574</v>
      </c>
      <c r="AM6" s="15" t="s">
        <v>592</v>
      </c>
      <c r="AN6" s="13" t="s">
        <v>565</v>
      </c>
      <c r="AO6" s="13"/>
      <c r="AP6" s="13" t="s">
        <v>623</v>
      </c>
      <c r="AQ6" s="15" t="s">
        <v>593</v>
      </c>
      <c r="AR6" s="13" t="s">
        <v>565</v>
      </c>
      <c r="AS6" s="13"/>
      <c r="AT6" s="13"/>
      <c r="AU6" s="18"/>
    </row>
    <row r="7" s="1" customFormat="1" ht="46.5" customHeight="1" spans="1:47">
      <c r="A7" s="20"/>
      <c r="B7" s="21" t="s">
        <v>52</v>
      </c>
      <c r="C7" s="22"/>
      <c r="D7" s="22"/>
      <c r="E7" s="23"/>
      <c r="F7" s="21" t="s">
        <v>70</v>
      </c>
      <c r="G7" s="22"/>
      <c r="H7" s="22"/>
      <c r="I7" s="23"/>
      <c r="J7" s="24" t="s">
        <v>77</v>
      </c>
      <c r="K7" s="25"/>
      <c r="L7" s="25"/>
      <c r="M7" s="26"/>
      <c r="N7" s="24" t="s">
        <v>93</v>
      </c>
      <c r="O7" s="25"/>
      <c r="P7" s="25"/>
      <c r="Q7" s="26"/>
      <c r="R7" s="27" t="s">
        <v>493</v>
      </c>
      <c r="S7" s="28"/>
      <c r="T7" s="28"/>
      <c r="U7" s="29"/>
      <c r="V7" s="27" t="s">
        <v>502</v>
      </c>
      <c r="W7" s="28"/>
      <c r="X7" s="28"/>
      <c r="Y7" s="29"/>
      <c r="Z7" s="27" t="s">
        <v>393</v>
      </c>
      <c r="AA7" s="28"/>
      <c r="AB7" s="28"/>
      <c r="AC7" s="29"/>
      <c r="AD7" s="27" t="s">
        <v>149</v>
      </c>
      <c r="AE7" s="28"/>
      <c r="AF7" s="28"/>
      <c r="AG7" s="29"/>
      <c r="AI7" s="30" t="s">
        <v>112</v>
      </c>
      <c r="AJ7" s="31"/>
      <c r="AK7" s="31"/>
      <c r="AL7" s="32"/>
      <c r="AM7" s="30" t="s">
        <v>216</v>
      </c>
      <c r="AN7" s="31"/>
      <c r="AO7" s="31"/>
      <c r="AP7" s="32"/>
      <c r="AQ7" s="33" t="s">
        <v>582</v>
      </c>
      <c r="AR7" s="34"/>
      <c r="AS7" s="34"/>
      <c r="AT7" s="35"/>
    </row>
    <row r="8" ht="15.95" customHeight="1" spans="1:47">
      <c r="A8" s="10" t="s">
        <v>594</v>
      </c>
      <c r="B8" s="11">
        <v>3</v>
      </c>
      <c r="C8" s="12" t="s">
        <v>595</v>
      </c>
      <c r="D8" s="13" t="s">
        <v>563</v>
      </c>
      <c r="E8" s="13" t="s">
        <v>563</v>
      </c>
      <c r="F8" s="11" t="s">
        <v>596</v>
      </c>
      <c r="G8" s="13" t="s">
        <v>565</v>
      </c>
      <c r="H8" s="13"/>
      <c r="I8" s="13" t="s">
        <v>597</v>
      </c>
      <c r="J8" s="15" t="s">
        <v>598</v>
      </c>
      <c r="K8" s="13" t="s">
        <v>565</v>
      </c>
      <c r="L8" s="16" t="str">
        <f>'Malla base'!L8</f>
        <v>Eb</v>
      </c>
      <c r="M8" s="13" t="s">
        <v>596</v>
      </c>
      <c r="N8" s="15" t="s">
        <v>599</v>
      </c>
      <c r="O8" s="13" t="s">
        <v>595</v>
      </c>
      <c r="P8" s="16" t="str">
        <f>'Malla base'!P8</f>
        <v>Eb</v>
      </c>
      <c r="Q8" s="13" t="s">
        <v>600</v>
      </c>
      <c r="R8" s="15" t="s">
        <v>601</v>
      </c>
      <c r="S8" s="13" t="s">
        <v>565</v>
      </c>
      <c r="T8" s="13" t="s">
        <v>156</v>
      </c>
      <c r="U8" s="13" t="s">
        <v>735</v>
      </c>
      <c r="V8" s="15" t="s">
        <v>602</v>
      </c>
      <c r="W8" s="13" t="s">
        <v>565</v>
      </c>
      <c r="X8" s="266" t="s">
        <v>257</v>
      </c>
      <c r="Y8" s="13" t="s">
        <v>696</v>
      </c>
      <c r="Z8" s="15" t="s">
        <v>603</v>
      </c>
      <c r="AA8" s="13" t="s">
        <v>565</v>
      </c>
      <c r="AB8" s="13"/>
      <c r="AC8" s="13" t="s">
        <v>602</v>
      </c>
      <c r="AD8" s="15" t="s">
        <v>604</v>
      </c>
      <c r="AE8" s="13" t="s">
        <v>565</v>
      </c>
      <c r="AF8" s="13"/>
      <c r="AG8" s="13" t="s">
        <v>697</v>
      </c>
      <c r="AH8" s="18"/>
      <c r="AI8" s="15" t="s">
        <v>605</v>
      </c>
      <c r="AJ8" s="13" t="s">
        <v>565</v>
      </c>
      <c r="AK8" s="13" t="s">
        <v>386</v>
      </c>
      <c r="AL8" s="13" t="s">
        <v>622</v>
      </c>
      <c r="AM8" s="15" t="s">
        <v>606</v>
      </c>
      <c r="AN8" s="13" t="s">
        <v>607</v>
      </c>
      <c r="AO8" s="13" t="s">
        <v>186</v>
      </c>
      <c r="AP8" s="13" t="s">
        <v>608</v>
      </c>
      <c r="AQ8" s="15" t="s">
        <v>609</v>
      </c>
      <c r="AR8" s="13" t="s">
        <v>610</v>
      </c>
      <c r="AS8" s="13" t="s">
        <v>186</v>
      </c>
      <c r="AT8" s="13" t="s">
        <v>606</v>
      </c>
      <c r="AU8" s="18"/>
    </row>
    <row r="9" s="1" customFormat="1" ht="46.5" customHeight="1" spans="1:47">
      <c r="A9" s="20"/>
      <c r="B9" s="21" t="s">
        <v>56</v>
      </c>
      <c r="C9" s="22"/>
      <c r="D9" s="22"/>
      <c r="E9" s="23"/>
      <c r="F9" s="21" t="s">
        <v>74</v>
      </c>
      <c r="G9" s="22"/>
      <c r="H9" s="22"/>
      <c r="I9" s="23"/>
      <c r="J9" s="21" t="s">
        <v>89</v>
      </c>
      <c r="K9" s="22"/>
      <c r="L9" s="22"/>
      <c r="M9" s="23"/>
      <c r="N9" s="24" t="s">
        <v>107</v>
      </c>
      <c r="O9" s="25"/>
      <c r="P9" s="25"/>
      <c r="Q9" s="26"/>
      <c r="R9" s="27" t="s">
        <v>201</v>
      </c>
      <c r="S9" s="28"/>
      <c r="T9" s="28"/>
      <c r="U9" s="29"/>
      <c r="V9" s="27" t="s">
        <v>323</v>
      </c>
      <c r="W9" s="28"/>
      <c r="X9" s="28"/>
      <c r="Y9" s="29"/>
      <c r="Z9" s="27" t="s">
        <v>736</v>
      </c>
      <c r="AA9" s="28"/>
      <c r="AB9" s="28"/>
      <c r="AC9" s="29"/>
      <c r="AD9" s="27" t="s">
        <v>374</v>
      </c>
      <c r="AE9" s="28"/>
      <c r="AF9" s="28"/>
      <c r="AG9" s="29"/>
      <c r="AI9" s="30" t="s">
        <v>385</v>
      </c>
      <c r="AJ9" s="31"/>
      <c r="AK9" s="31"/>
      <c r="AL9" s="32"/>
      <c r="AM9" s="36" t="s">
        <v>612</v>
      </c>
      <c r="AN9" s="37"/>
      <c r="AO9" s="37"/>
      <c r="AP9" s="38"/>
      <c r="AQ9" s="36" t="s">
        <v>613</v>
      </c>
      <c r="AR9" s="37"/>
      <c r="AS9" s="37"/>
      <c r="AT9" s="38"/>
      <c r="AU9" s="39"/>
    </row>
    <row r="10" ht="15.75" customHeight="1" spans="1:47">
      <c r="A10" s="10" t="s">
        <v>614</v>
      </c>
      <c r="B10" s="11" t="s">
        <v>607</v>
      </c>
      <c r="C10" s="16">
        <v>1</v>
      </c>
      <c r="D10" s="13" t="s">
        <v>563</v>
      </c>
      <c r="E10" s="13" t="s">
        <v>563</v>
      </c>
      <c r="F10" s="11" t="s">
        <v>615</v>
      </c>
      <c r="G10" s="13" t="s">
        <v>595</v>
      </c>
      <c r="H10" s="16" t="str">
        <f>'Malla base'!H10</f>
        <v>Ea</v>
      </c>
      <c r="I10" s="40" t="s">
        <v>607</v>
      </c>
      <c r="J10" s="15" t="s">
        <v>616</v>
      </c>
      <c r="K10" s="13" t="s">
        <v>595</v>
      </c>
      <c r="L10" s="16" t="str">
        <f>'Malla base'!L10</f>
        <v>Ia</v>
      </c>
      <c r="M10" s="13" t="s">
        <v>597</v>
      </c>
      <c r="N10" s="15" t="s">
        <v>617</v>
      </c>
      <c r="O10" s="13" t="s">
        <v>565</v>
      </c>
      <c r="P10" s="16" t="s">
        <v>563</v>
      </c>
      <c r="Q10" s="13" t="s">
        <v>618</v>
      </c>
      <c r="R10" s="15" t="s">
        <v>619</v>
      </c>
      <c r="S10" s="13" t="s">
        <v>565</v>
      </c>
      <c r="T10" s="13"/>
      <c r="U10" s="13"/>
      <c r="V10" s="15" t="s">
        <v>620</v>
      </c>
      <c r="W10" s="13" t="s">
        <v>565</v>
      </c>
      <c r="X10" s="266" t="s">
        <v>156</v>
      </c>
      <c r="Y10" s="13" t="s">
        <v>601</v>
      </c>
      <c r="Z10" s="15" t="s">
        <v>621</v>
      </c>
      <c r="AA10" s="13" t="s">
        <v>565</v>
      </c>
      <c r="AB10" s="13"/>
      <c r="AC10" s="13"/>
      <c r="AD10" s="15" t="s">
        <v>622</v>
      </c>
      <c r="AE10" s="13" t="s">
        <v>565</v>
      </c>
      <c r="AF10" s="13" t="s">
        <v>135</v>
      </c>
      <c r="AG10" s="13" t="s">
        <v>737</v>
      </c>
      <c r="AH10" s="18"/>
      <c r="AI10" s="15" t="s">
        <v>623</v>
      </c>
      <c r="AJ10" s="13" t="s">
        <v>565</v>
      </c>
      <c r="AK10" s="13" t="s">
        <v>186</v>
      </c>
      <c r="AL10" s="13" t="s">
        <v>698</v>
      </c>
      <c r="AM10" s="15" t="s">
        <v>624</v>
      </c>
      <c r="AN10" s="13" t="s">
        <v>565</v>
      </c>
      <c r="AO10" s="13"/>
      <c r="AP10" s="13"/>
      <c r="AU10" s="41"/>
    </row>
    <row r="11" s="1" customFormat="1" ht="46.5" customHeight="1" spans="1:47">
      <c r="A11" s="20"/>
      <c r="B11" s="42" t="s">
        <v>49</v>
      </c>
      <c r="C11" s="43"/>
      <c r="D11" s="43"/>
      <c r="E11" s="44"/>
      <c r="F11" s="21" t="s">
        <v>67</v>
      </c>
      <c r="G11" s="22"/>
      <c r="H11" s="22"/>
      <c r="I11" s="23"/>
      <c r="J11" s="24" t="s">
        <v>85</v>
      </c>
      <c r="K11" s="25"/>
      <c r="L11" s="25"/>
      <c r="M11" s="26"/>
      <c r="N11" s="24" t="s">
        <v>97</v>
      </c>
      <c r="O11" s="25"/>
      <c r="P11" s="25"/>
      <c r="Q11" s="26"/>
      <c r="R11" s="45" t="s">
        <v>625</v>
      </c>
      <c r="S11" s="46"/>
      <c r="T11" s="46"/>
      <c r="U11" s="47"/>
      <c r="V11" s="27" t="s">
        <v>200</v>
      </c>
      <c r="W11" s="28"/>
      <c r="X11" s="28"/>
      <c r="Y11" s="29"/>
      <c r="Z11" s="45" t="s">
        <v>625</v>
      </c>
      <c r="AA11" s="46"/>
      <c r="AB11" s="46"/>
      <c r="AC11" s="47"/>
      <c r="AD11" s="27" t="s">
        <v>345</v>
      </c>
      <c r="AE11" s="28"/>
      <c r="AF11" s="28"/>
      <c r="AG11" s="29"/>
      <c r="AI11" s="30" t="s">
        <v>309</v>
      </c>
      <c r="AJ11" s="31"/>
      <c r="AK11" s="31"/>
      <c r="AL11" s="32"/>
      <c r="AM11" s="33" t="s">
        <v>582</v>
      </c>
      <c r="AN11" s="34"/>
      <c r="AO11" s="34"/>
      <c r="AP11" s="35"/>
      <c r="AU11" s="39"/>
    </row>
    <row r="12" ht="15.95" customHeight="1" spans="1:47">
      <c r="A12" s="10" t="s">
        <v>627</v>
      </c>
      <c r="B12" s="11" t="s">
        <v>595</v>
      </c>
      <c r="C12" s="16">
        <v>3</v>
      </c>
      <c r="D12" s="13"/>
      <c r="E12" s="13" t="s">
        <v>563</v>
      </c>
      <c r="F12"/>
      <c r="G12"/>
      <c r="H12"/>
      <c r="I12"/>
      <c r="N12" s="15" t="s">
        <v>628</v>
      </c>
      <c r="O12" s="13" t="s">
        <v>629</v>
      </c>
      <c r="P12" s="16"/>
      <c r="Q12" s="13" t="s">
        <v>652</v>
      </c>
      <c r="V12" s="15" t="s">
        <v>630</v>
      </c>
      <c r="W12" s="13" t="s">
        <v>565</v>
      </c>
      <c r="X12" s="13"/>
      <c r="Y12" s="13"/>
      <c r="Z12" s="15" t="s">
        <v>631</v>
      </c>
      <c r="AA12" s="13" t="s">
        <v>565</v>
      </c>
      <c r="AB12" s="16" t="str">
        <f>'Malla base'!AB12</f>
        <v>Ib(Ea)</v>
      </c>
      <c r="AC12" s="17" t="s">
        <v>633</v>
      </c>
      <c r="AH12" s="18"/>
      <c r="AI12" s="15" t="s">
        <v>634</v>
      </c>
      <c r="AJ12" s="13" t="s">
        <v>565</v>
      </c>
      <c r="AK12" s="13"/>
      <c r="AL12" s="13" t="s">
        <v>604</v>
      </c>
      <c r="AM12" s="15" t="s">
        <v>635</v>
      </c>
      <c r="AN12" s="13" t="s">
        <v>565</v>
      </c>
      <c r="AO12" s="13"/>
      <c r="AP12" s="13"/>
      <c r="AU12" s="41"/>
    </row>
    <row r="13" s="1" customFormat="1" ht="51" customHeight="1" spans="1:47">
      <c r="A13" s="20"/>
      <c r="B13" s="48" t="s">
        <v>59</v>
      </c>
      <c r="C13" s="49"/>
      <c r="D13" s="49"/>
      <c r="E13" s="50"/>
      <c r="F13" s="51"/>
      <c r="G13" s="51"/>
      <c r="H13" s="51"/>
      <c r="I13" s="51"/>
      <c r="L13" s="52"/>
      <c r="N13" s="53" t="s">
        <v>101</v>
      </c>
      <c r="O13" s="54"/>
      <c r="P13" s="54"/>
      <c r="Q13" s="55"/>
      <c r="V13" s="45" t="s">
        <v>625</v>
      </c>
      <c r="W13" s="46"/>
      <c r="X13" s="46"/>
      <c r="Y13" s="47"/>
      <c r="Z13" s="56" t="s">
        <v>426</v>
      </c>
      <c r="AA13" s="57"/>
      <c r="AB13" s="57"/>
      <c r="AC13" s="58"/>
      <c r="AI13" s="30" t="s">
        <v>413</v>
      </c>
      <c r="AJ13" s="31"/>
      <c r="AK13" s="31"/>
      <c r="AL13" s="32"/>
      <c r="AM13" s="33" t="s">
        <v>582</v>
      </c>
      <c r="AN13" s="34"/>
      <c r="AO13" s="34"/>
      <c r="AP13" s="35"/>
      <c r="AU13" s="39"/>
    </row>
    <row r="14" customHeight="1" spans="1:47">
      <c r="A14" s="59" t="s">
        <v>636</v>
      </c>
      <c r="B14" s="11" t="s">
        <v>565</v>
      </c>
      <c r="C14" s="12">
        <v>3</v>
      </c>
      <c r="D14" s="13" t="s">
        <v>563</v>
      </c>
      <c r="E14" s="13" t="s">
        <v>563</v>
      </c>
      <c r="F14" s="11" t="s">
        <v>637</v>
      </c>
      <c r="G14" s="13" t="s">
        <v>629</v>
      </c>
      <c r="H14" s="13" t="s">
        <v>563</v>
      </c>
      <c r="I14" s="13" t="s">
        <v>565</v>
      </c>
      <c r="J14" s="15" t="s">
        <v>610</v>
      </c>
      <c r="K14" s="13" t="s">
        <v>629</v>
      </c>
      <c r="L14" s="16" t="s">
        <v>563</v>
      </c>
      <c r="M14" s="13" t="s">
        <v>637</v>
      </c>
      <c r="N14" s="15" t="s">
        <v>638</v>
      </c>
      <c r="O14" s="13" t="s">
        <v>607</v>
      </c>
      <c r="P14" s="16" t="s">
        <v>563</v>
      </c>
      <c r="Q14" s="13" t="s">
        <v>563</v>
      </c>
      <c r="R14" s="15" t="s">
        <v>639</v>
      </c>
      <c r="S14" s="13" t="s">
        <v>629</v>
      </c>
      <c r="T14" s="13" t="s">
        <v>563</v>
      </c>
      <c r="U14" s="13" t="s">
        <v>628</v>
      </c>
      <c r="V14" s="60"/>
      <c r="W14" s="60"/>
      <c r="X14" s="60"/>
      <c r="Y14" s="60"/>
      <c r="Z14" s="61"/>
      <c r="AA14" s="62"/>
      <c r="AB14" s="62"/>
      <c r="AC14" s="63"/>
      <c r="AD14" s="15" t="s">
        <v>640</v>
      </c>
      <c r="AE14" s="13" t="s">
        <v>629</v>
      </c>
      <c r="AF14" s="13" t="s">
        <v>563</v>
      </c>
      <c r="AG14" s="13" t="s">
        <v>563</v>
      </c>
      <c r="AI14" s="60"/>
      <c r="AJ14" s="60"/>
      <c r="AK14" s="60"/>
      <c r="AL14" s="60"/>
      <c r="AM14" s="15" t="s">
        <v>641</v>
      </c>
      <c r="AN14" s="13" t="s">
        <v>642</v>
      </c>
      <c r="AO14" s="16" t="str">
        <f>'Malla base'!AO14</f>
        <v>Ec,Ia</v>
      </c>
      <c r="AP14" s="13" t="s">
        <v>675</v>
      </c>
      <c r="AU14" s="60"/>
    </row>
    <row r="15" ht="46.5" customHeight="1" spans="1:47">
      <c r="A15" s="20"/>
      <c r="B15" s="64" t="s">
        <v>645</v>
      </c>
      <c r="C15" s="65"/>
      <c r="D15" s="65"/>
      <c r="E15" s="66"/>
      <c r="F15" s="67" t="s">
        <v>646</v>
      </c>
      <c r="G15" s="68"/>
      <c r="H15" s="68"/>
      <c r="I15" s="69"/>
      <c r="J15" s="53" t="s">
        <v>647</v>
      </c>
      <c r="K15" s="54"/>
      <c r="L15" s="54"/>
      <c r="M15" s="55"/>
      <c r="N15" s="53" t="s">
        <v>648</v>
      </c>
      <c r="O15" s="54"/>
      <c r="P15" s="54"/>
      <c r="Q15" s="55"/>
      <c r="R15" s="67" t="s">
        <v>320</v>
      </c>
      <c r="S15" s="68"/>
      <c r="T15" s="68"/>
      <c r="U15" s="69"/>
      <c r="V15" s="70"/>
      <c r="W15" s="70"/>
      <c r="X15" s="70"/>
      <c r="Z15" s="70"/>
      <c r="AA15" s="70"/>
      <c r="AB15" s="70"/>
      <c r="AC15" s="71"/>
      <c r="AD15" s="72" t="s">
        <v>649</v>
      </c>
      <c r="AE15" s="73"/>
      <c r="AF15" s="73"/>
      <c r="AG15" s="74"/>
      <c r="AM15" s="75" t="s">
        <v>650</v>
      </c>
      <c r="AN15" s="76"/>
      <c r="AO15" s="76"/>
      <c r="AP15" s="77"/>
    </row>
    <row r="16" ht="16.35" customHeight="1" spans="1:47">
      <c r="A16" s="10" t="s">
        <v>651</v>
      </c>
      <c r="B16" s="11" t="s">
        <v>652</v>
      </c>
      <c r="C16" s="16">
        <v>3</v>
      </c>
      <c r="D16" s="13" t="s">
        <v>563</v>
      </c>
      <c r="E16" s="13" t="s">
        <v>563</v>
      </c>
      <c r="F16" s="11" t="s">
        <v>653</v>
      </c>
      <c r="G16" s="12">
        <v>3</v>
      </c>
      <c r="H16" s="13" t="s">
        <v>563</v>
      </c>
      <c r="I16" s="13" t="s">
        <v>563</v>
      </c>
      <c r="J16" s="15" t="s">
        <v>654</v>
      </c>
      <c r="K16" s="13" t="s">
        <v>607</v>
      </c>
      <c r="L16" s="16" t="s">
        <v>563</v>
      </c>
      <c r="M16" s="13" t="s">
        <v>563</v>
      </c>
      <c r="N16" s="60"/>
      <c r="O16" s="60"/>
      <c r="P16" s="78"/>
      <c r="Q16" s="60"/>
      <c r="R16" s="15" t="s">
        <v>655</v>
      </c>
      <c r="S16" s="13" t="s">
        <v>607</v>
      </c>
      <c r="T16" s="13" t="s">
        <v>563</v>
      </c>
      <c r="U16" s="13" t="s">
        <v>563</v>
      </c>
      <c r="V16" s="60"/>
      <c r="W16" s="60"/>
      <c r="X16" s="60"/>
      <c r="Z16" s="60"/>
      <c r="AA16" s="60"/>
      <c r="AB16" s="60"/>
      <c r="AC16" s="60"/>
      <c r="AD16" s="60"/>
      <c r="AE16" s="60"/>
      <c r="AF16" s="60"/>
    </row>
    <row r="17" ht="46.5" customHeight="1" spans="1:47">
      <c r="A17" s="20"/>
      <c r="B17" s="67" t="s">
        <v>46</v>
      </c>
      <c r="C17" s="68"/>
      <c r="D17" s="68"/>
      <c r="E17" s="69"/>
      <c r="F17" s="79" t="s">
        <v>649</v>
      </c>
      <c r="G17" s="80"/>
      <c r="H17" s="80"/>
      <c r="I17" s="81"/>
      <c r="J17" s="53" t="s">
        <v>648</v>
      </c>
      <c r="K17" s="54"/>
      <c r="L17" s="54"/>
      <c r="M17" s="55"/>
      <c r="N17" s="70"/>
      <c r="O17" s="70"/>
      <c r="P17" s="82"/>
      <c r="Q17" s="70"/>
      <c r="R17" s="53" t="s">
        <v>648</v>
      </c>
      <c r="S17" s="54"/>
      <c r="T17" s="54"/>
      <c r="U17" s="55"/>
      <c r="V17" s="70"/>
      <c r="W17" s="70"/>
      <c r="X17" s="82"/>
      <c r="Y17" s="3"/>
      <c r="Z17" s="3"/>
      <c r="AA17" s="3"/>
      <c r="AB17" s="3"/>
      <c r="AC17" s="82"/>
      <c r="AD17" s="82"/>
      <c r="AE17" s="82"/>
      <c r="AF17" s="82"/>
      <c r="AG17" s="3"/>
      <c r="AH17" s="3"/>
      <c r="AI17" s="3" t="s">
        <v>656</v>
      </c>
      <c r="AJ17" s="3"/>
      <c r="AK17" s="3"/>
      <c r="AL17" s="3"/>
      <c r="AM17" s="3"/>
      <c r="AN17" s="3"/>
      <c r="AO17" s="3"/>
      <c r="AP17" s="3"/>
      <c r="AQ17" s="3"/>
      <c r="AR17" s="3"/>
      <c r="AS17" s="3"/>
    </row>
    <row r="18" customHeight="1" spans="1:47">
      <c r="A18" s="83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78"/>
      <c r="M18" s="60"/>
      <c r="N18" s="60"/>
      <c r="O18" s="60"/>
      <c r="P18" s="78"/>
      <c r="Q18" s="60"/>
      <c r="R18" s="60"/>
      <c r="S18" s="60"/>
      <c r="T18" s="60"/>
      <c r="U18" s="60"/>
      <c r="V18" s="60"/>
      <c r="W18" s="60"/>
      <c r="X18" s="84" t="s">
        <v>657</v>
      </c>
      <c r="Y18" s="16" t="s">
        <v>637</v>
      </c>
      <c r="Z18" s="16" t="str">
        <f>'Malla base'!Z18</f>
        <v>Ic(Ea)</v>
      </c>
      <c r="AA18" s="85" t="s">
        <v>658</v>
      </c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84" t="s">
        <v>578</v>
      </c>
      <c r="AP18" s="16" t="s">
        <v>637</v>
      </c>
      <c r="AQ18" s="16" t="str">
        <f>'Malla base'!AQ18</f>
        <v>Ic(Eb, Ob)</v>
      </c>
      <c r="AR18" s="85" t="s">
        <v>660</v>
      </c>
      <c r="AS18" s="3"/>
    </row>
    <row r="19" ht="38.1" customHeight="1" spans="1:47">
      <c r="A19" s="86"/>
      <c r="B19" s="86"/>
      <c r="C19" s="86"/>
      <c r="D19" s="86"/>
      <c r="E19" s="11" t="s">
        <v>549</v>
      </c>
      <c r="F19" s="13" t="s">
        <v>661</v>
      </c>
      <c r="G19" s="13"/>
      <c r="H19" s="17"/>
      <c r="I19" s="86"/>
      <c r="J19" s="86"/>
      <c r="K19" s="86"/>
      <c r="L19" s="87"/>
      <c r="M19" s="86"/>
      <c r="N19" s="86"/>
      <c r="O19" s="86"/>
      <c r="P19" s="87"/>
      <c r="Q19" s="86"/>
      <c r="R19" s="86"/>
      <c r="S19" s="86"/>
      <c r="T19" s="86"/>
      <c r="U19" s="86"/>
      <c r="V19" s="86"/>
      <c r="W19" s="86"/>
      <c r="X19" s="75" t="s">
        <v>447</v>
      </c>
      <c r="Y19" s="76"/>
      <c r="Z19" s="76"/>
      <c r="AA19" s="77"/>
      <c r="AB19" s="86"/>
      <c r="AC19" s="86"/>
      <c r="AH19" s="86"/>
      <c r="AI19" s="86"/>
      <c r="AJ19" s="86"/>
      <c r="AK19" s="86"/>
      <c r="AL19" s="86"/>
      <c r="AM19" s="86"/>
      <c r="AN19" s="86"/>
      <c r="AO19" s="75" t="s">
        <v>463</v>
      </c>
      <c r="AP19" s="76"/>
      <c r="AQ19" s="76"/>
      <c r="AR19" s="77"/>
      <c r="AS19" s="86"/>
      <c r="AT19" s="86"/>
      <c r="AU19" s="86"/>
    </row>
    <row r="20" ht="38.1" customHeight="1" spans="1:47">
      <c r="A20" s="86"/>
      <c r="B20" s="86"/>
      <c r="C20" s="86"/>
      <c r="D20" s="86"/>
      <c r="E20" s="88" t="s">
        <v>662</v>
      </c>
      <c r="F20" s="89"/>
      <c r="G20" s="89"/>
      <c r="H20" s="90"/>
      <c r="I20" s="86"/>
      <c r="J20" s="86"/>
      <c r="K20" s="86"/>
      <c r="L20" s="87"/>
      <c r="M20" s="86"/>
      <c r="N20" s="86"/>
      <c r="O20" s="86"/>
      <c r="P20" s="87"/>
      <c r="Q20" s="86"/>
      <c r="R20" s="86"/>
      <c r="S20" s="86"/>
      <c r="T20" s="86"/>
      <c r="U20" s="86"/>
      <c r="V20" s="86"/>
      <c r="W20" s="86"/>
      <c r="X20" s="70"/>
      <c r="Y20" s="70"/>
      <c r="Z20" s="70"/>
      <c r="AA20" s="70"/>
      <c r="AB20" s="86"/>
      <c r="AC20" s="86"/>
      <c r="AH20" s="86"/>
      <c r="AI20" s="86"/>
      <c r="AJ20" s="86"/>
      <c r="AK20" s="86"/>
      <c r="AL20" s="86"/>
      <c r="AM20" s="86"/>
      <c r="AN20" s="86"/>
      <c r="AO20" s="70"/>
      <c r="AP20" s="70"/>
      <c r="AQ20" s="70"/>
      <c r="AR20" s="70"/>
      <c r="AS20" s="86"/>
      <c r="AT20" s="86"/>
      <c r="AU20" s="86"/>
    </row>
    <row r="21" ht="38.1" customHeight="1" spans="1:47">
      <c r="A21" s="86"/>
      <c r="B21" s="86"/>
      <c r="C21" s="86"/>
      <c r="D21" s="86"/>
      <c r="E21" s="86"/>
      <c r="F21" s="86"/>
      <c r="G21" s="86"/>
      <c r="H21" s="86"/>
      <c r="I21" s="86"/>
      <c r="J21" s="86"/>
      <c r="K21" s="86"/>
      <c r="L21" s="87"/>
      <c r="M21" s="86"/>
      <c r="N21" s="86"/>
      <c r="O21" s="86"/>
      <c r="P21" s="87"/>
      <c r="Q21" s="86"/>
      <c r="R21" s="86"/>
      <c r="S21" s="86"/>
      <c r="T21" s="86"/>
      <c r="U21" s="86"/>
      <c r="V21" s="86"/>
      <c r="W21" s="86"/>
      <c r="X21" s="70"/>
      <c r="Y21" s="70"/>
      <c r="Z21" s="70"/>
      <c r="AA21" s="70"/>
      <c r="AB21" s="86"/>
      <c r="AC21" s="86"/>
      <c r="AH21" s="86"/>
      <c r="AI21" s="86"/>
      <c r="AJ21" s="86"/>
      <c r="AK21" s="86"/>
      <c r="AL21" s="86"/>
      <c r="AM21" s="86"/>
      <c r="AN21" s="86"/>
      <c r="AO21" s="70"/>
      <c r="AP21" s="70"/>
      <c r="AQ21" s="70"/>
      <c r="AR21" s="70"/>
      <c r="AS21" s="86"/>
      <c r="AT21" s="86"/>
      <c r="AU21" s="86"/>
    </row>
    <row r="22" customHeight="1" spans="1:47">
      <c r="B22" s="15" t="s">
        <v>663</v>
      </c>
      <c r="C22" s="13" t="s">
        <v>664</v>
      </c>
      <c r="D22" s="13" t="s">
        <v>665</v>
      </c>
      <c r="E22" s="13" t="s">
        <v>666</v>
      </c>
    </row>
    <row r="23" ht="42" customHeight="1" spans="1:47">
      <c r="B23" s="91" t="s">
        <v>667</v>
      </c>
      <c r="C23" s="92"/>
      <c r="D23" s="92"/>
      <c r="E23" s="93"/>
    </row>
    <row r="25" ht="20.25" customHeight="1" spans="1:47">
      <c r="B25" s="94" t="s">
        <v>556</v>
      </c>
      <c r="C25" s="94"/>
      <c r="D25" s="94"/>
      <c r="E25" s="94"/>
      <c r="F25" s="94"/>
      <c r="G25" s="94"/>
      <c r="H25" s="94"/>
      <c r="I25" s="95"/>
      <c r="J25" s="96" t="s">
        <v>557</v>
      </c>
      <c r="K25" s="96"/>
      <c r="L25" s="96"/>
      <c r="M25" s="96"/>
      <c r="N25" s="96"/>
      <c r="O25" s="96"/>
      <c r="P25" s="96"/>
      <c r="Q25" s="97"/>
      <c r="R25" s="96" t="s">
        <v>558</v>
      </c>
      <c r="S25" s="96"/>
      <c r="T25" s="96"/>
      <c r="U25" s="96"/>
      <c r="V25" s="96"/>
      <c r="W25" s="96"/>
      <c r="X25" s="96"/>
      <c r="Y25" s="97"/>
      <c r="Z25" s="96" t="s">
        <v>559</v>
      </c>
      <c r="AA25" s="96"/>
      <c r="AB25" s="96"/>
      <c r="AC25" s="96"/>
      <c r="AD25" s="96"/>
      <c r="AE25" s="96"/>
      <c r="AF25" s="96"/>
      <c r="AG25" s="96"/>
      <c r="AI25" s="96" t="s">
        <v>560</v>
      </c>
      <c r="AJ25" s="96"/>
      <c r="AK25" s="96"/>
      <c r="AL25" s="96"/>
      <c r="AM25" s="96"/>
      <c r="AN25" s="96"/>
      <c r="AO25" s="96"/>
      <c r="AP25" s="97"/>
      <c r="AQ25" s="96" t="s">
        <v>561</v>
      </c>
      <c r="AR25" s="96"/>
      <c r="AS25" s="96"/>
      <c r="AT25" s="96"/>
    </row>
    <row r="26" spans="1:47">
      <c r="B26" s="98">
        <f>C4+C6+C8+C10+C12+C14+C16+G4+G6+G8+G10+G14+G16</f>
        <v>59</v>
      </c>
      <c r="C26" s="99"/>
      <c r="D26" s="99"/>
      <c r="E26" s="99"/>
      <c r="F26" s="99"/>
      <c r="G26" s="99"/>
      <c r="H26" s="99"/>
      <c r="I26" s="99"/>
      <c r="J26" s="98">
        <f>K4+K6+K8+K10+K14+K16+O4+O6+O8+O10+O12+O14</f>
        <v>60</v>
      </c>
      <c r="K26" s="99"/>
      <c r="L26" s="99"/>
      <c r="M26" s="99"/>
      <c r="N26" s="99"/>
      <c r="O26" s="99"/>
      <c r="P26" s="99"/>
      <c r="Q26" s="99"/>
      <c r="R26" s="98">
        <f>S4+S6+S8+S10+S14+S16+W4+W6+W8+W10+W12+Y18</f>
        <v>73</v>
      </c>
      <c r="S26" s="99"/>
      <c r="T26" s="99"/>
      <c r="U26" s="99"/>
      <c r="V26" s="99"/>
      <c r="W26" s="99"/>
      <c r="X26" s="99"/>
      <c r="Y26" s="99"/>
      <c r="Z26" s="98">
        <f>AA4+AA6+AA8+AA10+AA12+AA14+AE4+AE6+AE8+AE10+AE14</f>
        <v>60</v>
      </c>
      <c r="AA26" s="99"/>
      <c r="AB26" s="99"/>
      <c r="AC26" s="99"/>
      <c r="AD26" s="99"/>
      <c r="AE26" s="99"/>
      <c r="AF26" s="99"/>
      <c r="AG26" s="99"/>
      <c r="AI26" s="98">
        <f>AJ4+AJ6+AJ8+AJ10+AJ12+AN4+AN6+AN8+AN10+AN12+AN14+AP18</f>
        <v>72</v>
      </c>
      <c r="AJ26" s="99"/>
      <c r="AK26" s="99"/>
      <c r="AL26" s="99"/>
      <c r="AM26" s="99"/>
      <c r="AN26" s="99"/>
      <c r="AO26" s="99"/>
      <c r="AP26" s="99"/>
      <c r="AQ26" s="98">
        <f>AR4+AR6+AR8</f>
        <v>30</v>
      </c>
      <c r="AR26" s="99"/>
      <c r="AS26" s="99"/>
      <c r="AT26" s="99"/>
    </row>
  </sheetData>
  <mergeCells count="101">
    <mergeCell ref="B2:I2"/>
    <mergeCell ref="J2:Q2"/>
    <mergeCell ref="R2:Y2"/>
    <mergeCell ref="Z2:AG2"/>
    <mergeCell ref="AI2:AP2"/>
    <mergeCell ref="AQ2:AT2"/>
    <mergeCell ref="B3:E3"/>
    <mergeCell ref="F3:I3"/>
    <mergeCell ref="J3:M3"/>
    <mergeCell ref="N3:Q3"/>
    <mergeCell ref="R3:U3"/>
    <mergeCell ref="V3:Y3"/>
    <mergeCell ref="Z3:AC3"/>
    <mergeCell ref="AD3:AG3"/>
    <mergeCell ref="AI3:AL3"/>
    <mergeCell ref="AM3:AP3"/>
    <mergeCell ref="AQ3:AT3"/>
    <mergeCell ref="B5:E5"/>
    <mergeCell ref="F5:I5"/>
    <mergeCell ref="J5:M5"/>
    <mergeCell ref="N5:Q5"/>
    <mergeCell ref="R5:U5"/>
    <mergeCell ref="V5:Y5"/>
    <mergeCell ref="Z5:AC5"/>
    <mergeCell ref="AD5:AG5"/>
    <mergeCell ref="AI5:AL5"/>
    <mergeCell ref="AM5:AP5"/>
    <mergeCell ref="AQ5:AT5"/>
    <mergeCell ref="B7:E7"/>
    <mergeCell ref="F7:I7"/>
    <mergeCell ref="J7:M7"/>
    <mergeCell ref="N7:Q7"/>
    <mergeCell ref="R7:U7"/>
    <mergeCell ref="V7:Y7"/>
    <mergeCell ref="Z7:AC7"/>
    <mergeCell ref="AD7:AG7"/>
    <mergeCell ref="AI7:AL7"/>
    <mergeCell ref="AM7:AP7"/>
    <mergeCell ref="AQ7:AT7"/>
    <mergeCell ref="B9:E9"/>
    <mergeCell ref="F9:I9"/>
    <mergeCell ref="J9:M9"/>
    <mergeCell ref="N9:Q9"/>
    <mergeCell ref="R9:U9"/>
    <mergeCell ref="V9:Y9"/>
    <mergeCell ref="Z9:AC9"/>
    <mergeCell ref="AD9:AG9"/>
    <mergeCell ref="AI9:AL9"/>
    <mergeCell ref="AM9:AP9"/>
    <mergeCell ref="AQ9:AT9"/>
    <mergeCell ref="B11:E11"/>
    <mergeCell ref="F11:I11"/>
    <mergeCell ref="J11:M11"/>
    <mergeCell ref="N11:Q11"/>
    <mergeCell ref="R11:U11"/>
    <mergeCell ref="V11:Y11"/>
    <mergeCell ref="Z11:AC11"/>
    <mergeCell ref="AD11:AG11"/>
    <mergeCell ref="AI11:AL11"/>
    <mergeCell ref="AM11:AP11"/>
    <mergeCell ref="B13:E13"/>
    <mergeCell ref="N13:Q13"/>
    <mergeCell ref="V13:Y13"/>
    <mergeCell ref="Z13:AC13"/>
    <mergeCell ref="AI13:AL13"/>
    <mergeCell ref="AM13:AP13"/>
    <mergeCell ref="B15:E15"/>
    <mergeCell ref="F15:I15"/>
    <mergeCell ref="J15:M15"/>
    <mergeCell ref="N15:Q15"/>
    <mergeCell ref="R15:U15"/>
    <mergeCell ref="Z15:AC15"/>
    <mergeCell ref="AD15:AG15"/>
    <mergeCell ref="AM15:AP15"/>
    <mergeCell ref="B17:E17"/>
    <mergeCell ref="F17:I17"/>
    <mergeCell ref="J17:M17"/>
    <mergeCell ref="R17:U17"/>
    <mergeCell ref="X19:AA19"/>
    <mergeCell ref="AO19:AR19"/>
    <mergeCell ref="E20:H20"/>
    <mergeCell ref="B23:E23"/>
    <mergeCell ref="B25:I25"/>
    <mergeCell ref="J25:Q25"/>
    <mergeCell ref="R25:Y25"/>
    <mergeCell ref="Z25:AG25"/>
    <mergeCell ref="AI25:AP25"/>
    <mergeCell ref="AQ25:AT25"/>
    <mergeCell ref="B26:I26"/>
    <mergeCell ref="J26:Q26"/>
    <mergeCell ref="R26:Y26"/>
    <mergeCell ref="Z26:AG26"/>
    <mergeCell ref="AI26:AP26"/>
    <mergeCell ref="AQ26:AT26"/>
    <mergeCell ref="A4:A5"/>
    <mergeCell ref="A6:A7"/>
    <mergeCell ref="A8:A9"/>
    <mergeCell ref="A10:A11"/>
    <mergeCell ref="A12:A13"/>
    <mergeCell ref="A14:A15"/>
    <mergeCell ref="A16:A17"/>
  </mergeCells>
  <pageMargins left="0.75" right="0.75" top="1" bottom="1" header="0.5" footer="0.5"/>
  <pageSetup paperSize="1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FBCDE841-649C-4EB6-B711-D451F9D67234}">
  <ds:schemaRefs/>
</ds:datastoreItem>
</file>

<file path=customXml/itemProps2.xml><?xml version="1.0" encoding="utf-8"?>
<ds:datastoreItem xmlns:ds="http://schemas.openxmlformats.org/officeDocument/2006/customXml" ds:itemID="{396709BC-422C-4412-AF88-DEF4FD171329}">
  <ds:schemaRefs/>
</ds:datastoreItem>
</file>

<file path=customXml/itemProps3.xml><?xml version="1.0" encoding="utf-8"?>
<ds:datastoreItem xmlns:ds="http://schemas.openxmlformats.org/officeDocument/2006/customXml" ds:itemID="{0E9067AC-C4A0-4038-8AA2-6B38E5235A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 Online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Cursos</vt:lpstr>
      <vt:lpstr>Malla base</vt:lpstr>
      <vt:lpstr>ICI Malla</vt:lpstr>
      <vt:lpstr>ICI Tit</vt:lpstr>
      <vt:lpstr>IOC Malla</vt:lpstr>
      <vt:lpstr>IOC Tit</vt:lpstr>
      <vt:lpstr>ICE Malla</vt:lpstr>
      <vt:lpstr>ICC Malla</vt:lpstr>
      <vt:lpstr>ICA Malla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Alejandro Moreno Casas</dc:creator>
  <cp:lastModifiedBy>joaqu</cp:lastModifiedBy>
  <dcterms:created xsi:type="dcterms:W3CDTF">2015-04-14T17:51:00Z</dcterms:created>
  <dcterms:modified xsi:type="dcterms:W3CDTF">2026-05-19T23:13:53Z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0x0101005F384A63C2AEC144BD566E2BE11FB0F4</vt:lpwstr>
  </property>
  <property fmtid="{D5CDD505-2E9C-101B-9397-08002B2CF9AE}" pid="3" name="ICV">
    <vt:lpwstr>493D74102D624A67BB8491C7E8E1F6C8_12</vt:lpwstr>
  </property>
  <property fmtid="{D5CDD505-2E9C-101B-9397-08002B2CF9AE}" pid="4" name="KSOProductBuildVer">
    <vt:lpwstr>1033-12.1.0.26372</vt:lpwstr>
  </property>
  <property fmtid="{D5CDD505-2E9C-101B-9397-08002B2CF9AE}" pid="5" name="CalculationRule">
    <vt:i4>0</vt:i4>
  </property>
</Properties>
</file>